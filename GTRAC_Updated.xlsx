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nit\Downloads\"/>
    </mc:Choice>
  </mc:AlternateContent>
  <xr:revisionPtr revIDLastSave="0" documentId="8_{96C1E25C-5509-40C7-8BD1-082EE8EB38FD}" xr6:coauthVersionLast="47" xr6:coauthVersionMax="47" xr10:uidLastSave="{00000000-0000-0000-0000-000000000000}"/>
  <bookViews>
    <workbookView xWindow="-110" yWindow="-110" windowWidth="19420" windowHeight="11020" tabRatio="500" activeTab="2" xr2:uid="{00000000-000D-0000-FFFF-FFFF00000000}"/>
  </bookViews>
  <sheets>
    <sheet name="Consolidated Detail Report" sheetId="1" r:id="rId1"/>
    <sheet name="Calculations" sheetId="2" r:id="rId2"/>
    <sheet name="Dashboard" sheetId="5" r:id="rId3"/>
  </sheets>
  <externalReferences>
    <externalReference r:id="rId4"/>
  </externalReferenc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1" l="1"/>
  <c r="Q2" i="1"/>
  <c r="Q3" i="1"/>
  <c r="B6" i="5"/>
  <c r="K6" i="5"/>
  <c r="G11" i="5"/>
  <c r="G12" i="5"/>
  <c r="D39" i="5"/>
  <c r="C39" i="5" s="1"/>
  <c r="D40" i="5"/>
  <c r="C40" i="5" s="1"/>
  <c r="D41" i="5"/>
  <c r="C41" i="5" s="1"/>
  <c r="D42" i="5"/>
  <c r="C42" i="5" s="1"/>
  <c r="D43" i="5"/>
  <c r="C43" i="5" s="1"/>
  <c r="D44" i="5"/>
  <c r="C44" i="5" s="1"/>
  <c r="D45" i="5"/>
  <c r="C45" i="5" s="1"/>
  <c r="D46" i="5"/>
  <c r="C46" i="5" s="1"/>
  <c r="D47" i="5"/>
  <c r="C47" i="5" s="1"/>
  <c r="D48" i="5"/>
  <c r="C48" i="5" s="1"/>
  <c r="B3" i="1"/>
  <c r="J3" i="1"/>
  <c r="K3" i="1"/>
  <c r="M3" i="1" s="1"/>
  <c r="L3" i="1"/>
  <c r="R3" i="1"/>
  <c r="B4" i="1"/>
  <c r="J4" i="1"/>
  <c r="K4" i="1"/>
  <c r="N4" i="1" s="1"/>
  <c r="L4" i="1"/>
  <c r="Q4" i="1"/>
  <c r="R4" i="1"/>
  <c r="B5" i="1"/>
  <c r="J5" i="1"/>
  <c r="K5" i="1"/>
  <c r="L5" i="1"/>
  <c r="Q5" i="1"/>
  <c r="R5" i="1"/>
  <c r="B6" i="1"/>
  <c r="J6" i="1"/>
  <c r="K6" i="1"/>
  <c r="L6" i="1"/>
  <c r="Q6" i="1"/>
  <c r="R6" i="1"/>
  <c r="B7" i="1"/>
  <c r="J7" i="1"/>
  <c r="K7" i="1"/>
  <c r="M7" i="1" s="1"/>
  <c r="L7" i="1"/>
  <c r="Q7" i="1"/>
  <c r="R7" i="1"/>
  <c r="B8" i="1"/>
  <c r="J8" i="1"/>
  <c r="K8" i="1"/>
  <c r="N8" i="1" s="1"/>
  <c r="L8" i="1"/>
  <c r="Q8" i="1"/>
  <c r="R8" i="1"/>
  <c r="B9" i="1"/>
  <c r="J9" i="1"/>
  <c r="K9" i="1"/>
  <c r="N9" i="1" s="1"/>
  <c r="L9" i="1"/>
  <c r="Q9" i="1"/>
  <c r="R9" i="1"/>
  <c r="B10" i="1"/>
  <c r="J10" i="1"/>
  <c r="K10" i="1"/>
  <c r="L10" i="1"/>
  <c r="Q10" i="1"/>
  <c r="R10" i="1"/>
  <c r="B11" i="1"/>
  <c r="J11" i="1"/>
  <c r="K11" i="1"/>
  <c r="L11" i="1"/>
  <c r="Q11" i="1"/>
  <c r="R11" i="1"/>
  <c r="B12" i="1"/>
  <c r="J12" i="1"/>
  <c r="K12" i="1"/>
  <c r="L12" i="1"/>
  <c r="N12" i="1" s="1"/>
  <c r="Q12" i="1"/>
  <c r="R12" i="1"/>
  <c r="B13" i="1"/>
  <c r="J13" i="1"/>
  <c r="K13" i="1"/>
  <c r="L13" i="1"/>
  <c r="M13" i="1" s="1"/>
  <c r="Q13" i="1"/>
  <c r="R13" i="1"/>
  <c r="B14" i="1"/>
  <c r="J14" i="1"/>
  <c r="K14" i="1"/>
  <c r="L14" i="1"/>
  <c r="Q14" i="1"/>
  <c r="R14" i="1"/>
  <c r="B15" i="1"/>
  <c r="J15" i="1"/>
  <c r="K15" i="1"/>
  <c r="O15" i="1" s="1"/>
  <c r="L15" i="1"/>
  <c r="Q15" i="1"/>
  <c r="R15" i="1"/>
  <c r="B16" i="1"/>
  <c r="J16" i="1"/>
  <c r="K16" i="1"/>
  <c r="L16" i="1"/>
  <c r="Q16" i="1"/>
  <c r="R16" i="1"/>
  <c r="B17" i="1"/>
  <c r="J17" i="1"/>
  <c r="K17" i="1"/>
  <c r="L17" i="1"/>
  <c r="Q17" i="1"/>
  <c r="R17" i="1"/>
  <c r="B18" i="1"/>
  <c r="J18" i="1"/>
  <c r="K18" i="1"/>
  <c r="L18" i="1"/>
  <c r="Q18" i="1"/>
  <c r="R18" i="1"/>
  <c r="B19" i="1"/>
  <c r="J19" i="1"/>
  <c r="K19" i="1"/>
  <c r="M19" i="1" s="1"/>
  <c r="L19" i="1"/>
  <c r="Q19" i="1"/>
  <c r="R19" i="1"/>
  <c r="B20" i="1"/>
  <c r="J20" i="1"/>
  <c r="K20" i="1"/>
  <c r="L20" i="1"/>
  <c r="N20" i="1"/>
  <c r="O20" i="1"/>
  <c r="Q20" i="1"/>
  <c r="R20" i="1"/>
  <c r="B21" i="1"/>
  <c r="J21" i="1"/>
  <c r="K21" i="1"/>
  <c r="L21" i="1"/>
  <c r="M21" i="1" s="1"/>
  <c r="Q21" i="1"/>
  <c r="R21" i="1"/>
  <c r="B22" i="1"/>
  <c r="J22" i="1"/>
  <c r="K22" i="1"/>
  <c r="O22" i="1" s="1"/>
  <c r="L22" i="1"/>
  <c r="Q22" i="1"/>
  <c r="R22" i="1"/>
  <c r="B23" i="1"/>
  <c r="J23" i="1"/>
  <c r="K23" i="1"/>
  <c r="L23" i="1"/>
  <c r="Q23" i="1"/>
  <c r="R23" i="1"/>
  <c r="B24" i="1"/>
  <c r="J24" i="1"/>
  <c r="K24" i="1"/>
  <c r="M24" i="1" s="1"/>
  <c r="L24" i="1"/>
  <c r="Q24" i="1"/>
  <c r="R24" i="1"/>
  <c r="B25" i="1"/>
  <c r="J25" i="1"/>
  <c r="K25" i="1"/>
  <c r="M25" i="1" s="1"/>
  <c r="L25" i="1"/>
  <c r="Q25" i="1"/>
  <c r="R25" i="1"/>
  <c r="B26" i="1"/>
  <c r="J26" i="1"/>
  <c r="K26" i="1"/>
  <c r="M26" i="1" s="1"/>
  <c r="L26" i="1"/>
  <c r="Q26" i="1"/>
  <c r="R26" i="1"/>
  <c r="B27" i="1"/>
  <c r="J27" i="1"/>
  <c r="K27" i="1"/>
  <c r="L27" i="1"/>
  <c r="O27" i="1" s="1"/>
  <c r="Q27" i="1"/>
  <c r="R27" i="1"/>
  <c r="B28" i="1"/>
  <c r="J28" i="1"/>
  <c r="K28" i="1"/>
  <c r="L28" i="1"/>
  <c r="N28" i="1"/>
  <c r="Q28" i="1"/>
  <c r="R28" i="1"/>
  <c r="B29" i="1"/>
  <c r="J29" i="1"/>
  <c r="K29" i="1"/>
  <c r="L29" i="1"/>
  <c r="Q29" i="1"/>
  <c r="R29" i="1"/>
  <c r="B30" i="1"/>
  <c r="J30" i="1"/>
  <c r="K30" i="1"/>
  <c r="L30" i="1"/>
  <c r="Q30" i="1"/>
  <c r="R30" i="1"/>
  <c r="B31" i="1"/>
  <c r="J31" i="1"/>
  <c r="K31" i="1"/>
  <c r="L31" i="1"/>
  <c r="N31" i="1"/>
  <c r="O31" i="1"/>
  <c r="Q31" i="1"/>
  <c r="R31" i="1"/>
  <c r="B32" i="1"/>
  <c r="J32" i="1"/>
  <c r="K32" i="1"/>
  <c r="L32" i="1"/>
  <c r="Q32" i="1"/>
  <c r="R32" i="1"/>
  <c r="B33" i="1"/>
  <c r="J33" i="1"/>
  <c r="K33" i="1"/>
  <c r="N33" i="1" s="1"/>
  <c r="L33" i="1"/>
  <c r="Q33" i="1"/>
  <c r="R33" i="1"/>
  <c r="B34" i="1"/>
  <c r="J34" i="1"/>
  <c r="K34" i="1"/>
  <c r="L34" i="1"/>
  <c r="Q34" i="1"/>
  <c r="R34" i="1"/>
  <c r="B35" i="1"/>
  <c r="J35" i="1"/>
  <c r="K35" i="1"/>
  <c r="L35" i="1"/>
  <c r="Q35" i="1"/>
  <c r="R35" i="1"/>
  <c r="B36" i="1"/>
  <c r="J36" i="1"/>
  <c r="K36" i="1"/>
  <c r="M36" i="1" s="1"/>
  <c r="L36" i="1"/>
  <c r="Q36" i="1"/>
  <c r="R36" i="1"/>
  <c r="B37" i="1"/>
  <c r="J37" i="1"/>
  <c r="K37" i="1"/>
  <c r="M37" i="1" s="1"/>
  <c r="L37" i="1"/>
  <c r="Q37" i="1"/>
  <c r="R37" i="1"/>
  <c r="B38" i="1"/>
  <c r="J38" i="1"/>
  <c r="K38" i="1"/>
  <c r="L38" i="1"/>
  <c r="Q38" i="1"/>
  <c r="R38" i="1"/>
  <c r="B39" i="1"/>
  <c r="J39" i="1"/>
  <c r="K39" i="1"/>
  <c r="O39" i="1" s="1"/>
  <c r="L39" i="1"/>
  <c r="Q39" i="1"/>
  <c r="R39" i="1"/>
  <c r="B40" i="1"/>
  <c r="J40" i="1"/>
  <c r="K40" i="1"/>
  <c r="O40" i="1" s="1"/>
  <c r="L40" i="1"/>
  <c r="Q40" i="1"/>
  <c r="R40" i="1"/>
  <c r="B41" i="1"/>
  <c r="J41" i="1"/>
  <c r="K41" i="1"/>
  <c r="L41" i="1"/>
  <c r="Q41" i="1"/>
  <c r="R41" i="1"/>
  <c r="R2" i="1"/>
  <c r="R42" i="1" s="1"/>
  <c r="L2" i="1"/>
  <c r="K2" i="1"/>
  <c r="B2" i="1"/>
  <c r="C2" i="2" s="1"/>
  <c r="N13" i="1" l="1"/>
  <c r="O9" i="1"/>
  <c r="M9" i="1"/>
  <c r="M31" i="1"/>
  <c r="P2" i="1"/>
  <c r="O38" i="1"/>
  <c r="M18" i="1"/>
  <c r="P16" i="1"/>
  <c r="P19" i="1"/>
  <c r="K11" i="2" s="1"/>
  <c r="O12" i="1"/>
  <c r="O10" i="1"/>
  <c r="C3" i="2"/>
  <c r="M32" i="1"/>
  <c r="N21" i="1"/>
  <c r="O30" i="1"/>
  <c r="N15" i="1"/>
  <c r="N36" i="1"/>
  <c r="M23" i="1"/>
  <c r="O13" i="1"/>
  <c r="J34" i="2" s="1"/>
  <c r="M14" i="1"/>
  <c r="P9" i="1"/>
  <c r="M33" i="1"/>
  <c r="N26" i="1"/>
  <c r="O24" i="1"/>
  <c r="N34" i="1"/>
  <c r="P31" i="1"/>
  <c r="M22" i="1"/>
  <c r="N19" i="1"/>
  <c r="M15" i="1"/>
  <c r="M12" i="1"/>
  <c r="O6" i="1"/>
  <c r="J8" i="2" s="1"/>
  <c r="P13" i="1"/>
  <c r="K34" i="2" s="1"/>
  <c r="M11" i="1"/>
  <c r="M28" i="1"/>
  <c r="M41" i="1"/>
  <c r="N39" i="1"/>
  <c r="P32" i="1"/>
  <c r="N10" i="1"/>
  <c r="O3" i="1"/>
  <c r="N40" i="1"/>
  <c r="M4" i="1"/>
  <c r="M39" i="1"/>
  <c r="N32" i="1"/>
  <c r="M27" i="1"/>
  <c r="P20" i="1"/>
  <c r="M38" i="1"/>
  <c r="P8" i="1"/>
  <c r="P21" i="1"/>
  <c r="M8" i="1"/>
  <c r="N37" i="1"/>
  <c r="P33" i="1"/>
  <c r="O28" i="1"/>
  <c r="N18" i="1"/>
  <c r="N6" i="1"/>
  <c r="I8" i="2" s="1"/>
  <c r="P40" i="1"/>
  <c r="O32" i="1"/>
  <c r="N24" i="1"/>
  <c r="O21" i="1"/>
  <c r="M20" i="1"/>
  <c r="P10" i="1"/>
  <c r="M5" i="1"/>
  <c r="O33" i="1"/>
  <c r="P25" i="1"/>
  <c r="P22" i="1"/>
  <c r="M17" i="1"/>
  <c r="P14" i="1"/>
  <c r="P3" i="1"/>
  <c r="M35" i="1"/>
  <c r="O25" i="1"/>
  <c r="O14" i="1"/>
  <c r="P37" i="1"/>
  <c r="P34" i="1"/>
  <c r="M29" i="1"/>
  <c r="P26" i="1"/>
  <c r="N25" i="1"/>
  <c r="N22" i="1"/>
  <c r="P15" i="1"/>
  <c r="N14" i="1"/>
  <c r="M10" i="1"/>
  <c r="M6" i="1"/>
  <c r="H8" i="2" s="1"/>
  <c r="N3" i="1"/>
  <c r="M16" i="1"/>
  <c r="N2" i="1"/>
  <c r="O37" i="1"/>
  <c r="O36" i="1"/>
  <c r="O34" i="1"/>
  <c r="O26" i="1"/>
  <c r="P7" i="1"/>
  <c r="P4" i="1"/>
  <c r="P38" i="1"/>
  <c r="P27" i="1"/>
  <c r="K24" i="2" s="1"/>
  <c r="O7" i="1"/>
  <c r="O4" i="1"/>
  <c r="N30" i="1"/>
  <c r="N7" i="1"/>
  <c r="P39" i="1"/>
  <c r="N38" i="1"/>
  <c r="M34" i="1"/>
  <c r="M30" i="1"/>
  <c r="N27" i="1"/>
  <c r="O19" i="1"/>
  <c r="O18" i="1"/>
  <c r="O16" i="1"/>
  <c r="O8" i="1"/>
  <c r="P28" i="1"/>
  <c r="N16" i="1"/>
  <c r="P35" i="1"/>
  <c r="K36" i="2" s="1"/>
  <c r="P11" i="1"/>
  <c r="P5" i="1"/>
  <c r="O41" i="1"/>
  <c r="M40" i="1"/>
  <c r="O35" i="1"/>
  <c r="O29" i="1"/>
  <c r="O23" i="1"/>
  <c r="O17" i="1"/>
  <c r="O11" i="1"/>
  <c r="O5" i="1"/>
  <c r="P41" i="1"/>
  <c r="P29" i="1"/>
  <c r="P23" i="1"/>
  <c r="P17" i="1"/>
  <c r="N41" i="1"/>
  <c r="P36" i="1"/>
  <c r="K9" i="2" s="1"/>
  <c r="N35" i="1"/>
  <c r="P30" i="1"/>
  <c r="N29" i="1"/>
  <c r="P24" i="1"/>
  <c r="N23" i="1"/>
  <c r="P18" i="1"/>
  <c r="K12" i="2" s="1"/>
  <c r="N17" i="1"/>
  <c r="P12" i="1"/>
  <c r="N11" i="1"/>
  <c r="I33" i="2" s="1"/>
  <c r="P6" i="1"/>
  <c r="N5" i="1"/>
  <c r="B3" i="2"/>
  <c r="C4" i="2"/>
  <c r="E6" i="2"/>
  <c r="F7" i="2"/>
  <c r="G8" i="2"/>
  <c r="H9" i="2"/>
  <c r="I10" i="2"/>
  <c r="J11" i="2"/>
  <c r="B15" i="2"/>
  <c r="C16" i="2"/>
  <c r="E18" i="2"/>
  <c r="F19" i="2"/>
  <c r="G20" i="2"/>
  <c r="I22" i="2"/>
  <c r="B27" i="2"/>
  <c r="C28" i="2"/>
  <c r="E30" i="2"/>
  <c r="F31" i="2"/>
  <c r="G32" i="2"/>
  <c r="I34" i="2"/>
  <c r="J35" i="2"/>
  <c r="B39" i="2"/>
  <c r="C40" i="2"/>
  <c r="M2" i="1"/>
  <c r="J23" i="2"/>
  <c r="B2" i="2"/>
  <c r="E5" i="2"/>
  <c r="F6" i="2"/>
  <c r="G7" i="2"/>
  <c r="I9" i="2"/>
  <c r="B14" i="2"/>
  <c r="C15" i="2"/>
  <c r="E17" i="2"/>
  <c r="F18" i="2"/>
  <c r="G19" i="2"/>
  <c r="H20" i="2"/>
  <c r="J22" i="2"/>
  <c r="K23" i="2"/>
  <c r="B26" i="2"/>
  <c r="C27" i="2"/>
  <c r="E29" i="2"/>
  <c r="F30" i="2"/>
  <c r="G31" i="2"/>
  <c r="K35" i="2"/>
  <c r="B38" i="2"/>
  <c r="C39" i="2"/>
  <c r="E41" i="2"/>
  <c r="E4" i="2"/>
  <c r="F5" i="2"/>
  <c r="G6" i="2"/>
  <c r="J9" i="2"/>
  <c r="K10" i="2"/>
  <c r="B13" i="2"/>
  <c r="C14" i="2"/>
  <c r="E16" i="2"/>
  <c r="F17" i="2"/>
  <c r="G18" i="2"/>
  <c r="I20" i="2"/>
  <c r="J21" i="2"/>
  <c r="K22" i="2"/>
  <c r="B25" i="2"/>
  <c r="C26" i="2"/>
  <c r="E28" i="2"/>
  <c r="F29" i="2"/>
  <c r="G30" i="2"/>
  <c r="B37" i="2"/>
  <c r="C38" i="2"/>
  <c r="E40" i="2"/>
  <c r="F41" i="2"/>
  <c r="O2" i="1"/>
  <c r="H19" i="2"/>
  <c r="E3" i="2"/>
  <c r="F4" i="2"/>
  <c r="G5" i="2"/>
  <c r="H6" i="2"/>
  <c r="I7" i="2"/>
  <c r="B12" i="2"/>
  <c r="C13" i="2"/>
  <c r="E15" i="2"/>
  <c r="F16" i="2"/>
  <c r="G17" i="2"/>
  <c r="I19" i="2"/>
  <c r="J20" i="2"/>
  <c r="K21" i="2"/>
  <c r="B24" i="2"/>
  <c r="C25" i="2"/>
  <c r="E27" i="2"/>
  <c r="F28" i="2"/>
  <c r="G29" i="2"/>
  <c r="H30" i="2"/>
  <c r="I31" i="2"/>
  <c r="J32" i="2"/>
  <c r="K33" i="2"/>
  <c r="B36" i="2"/>
  <c r="C37" i="2"/>
  <c r="D37" i="2" s="1"/>
  <c r="E39" i="2"/>
  <c r="F40" i="2"/>
  <c r="G41" i="2"/>
  <c r="E2" i="2"/>
  <c r="F3" i="2"/>
  <c r="G4" i="2"/>
  <c r="I6" i="2"/>
  <c r="K8" i="2"/>
  <c r="B11" i="2"/>
  <c r="C12" i="2"/>
  <c r="E14" i="2"/>
  <c r="F15" i="2"/>
  <c r="G16" i="2"/>
  <c r="H17" i="2"/>
  <c r="J19" i="2"/>
  <c r="K20" i="2"/>
  <c r="B23" i="2"/>
  <c r="C24" i="2"/>
  <c r="E26" i="2"/>
  <c r="F27" i="2"/>
  <c r="G28" i="2"/>
  <c r="I30" i="2"/>
  <c r="J31" i="2"/>
  <c r="K32" i="2"/>
  <c r="B35" i="2"/>
  <c r="C36" i="2"/>
  <c r="E38" i="2"/>
  <c r="F39" i="2"/>
  <c r="G40" i="2"/>
  <c r="H41" i="2"/>
  <c r="F2" i="2"/>
  <c r="G3" i="2"/>
  <c r="H4" i="2"/>
  <c r="I5" i="2"/>
  <c r="J6" i="2"/>
  <c r="B10" i="2"/>
  <c r="C11" i="2"/>
  <c r="E13" i="2"/>
  <c r="F14" i="2"/>
  <c r="G15" i="2"/>
  <c r="H16" i="2"/>
  <c r="I17" i="2"/>
  <c r="J18" i="2"/>
  <c r="K19" i="2"/>
  <c r="B22" i="2"/>
  <c r="C23" i="2"/>
  <c r="E25" i="2"/>
  <c r="F26" i="2"/>
  <c r="G27" i="2"/>
  <c r="H28" i="2"/>
  <c r="J30" i="2"/>
  <c r="K31" i="2"/>
  <c r="B34" i="2"/>
  <c r="C35" i="2"/>
  <c r="E37" i="2"/>
  <c r="F38" i="2"/>
  <c r="G39" i="2"/>
  <c r="H40" i="2"/>
  <c r="G2" i="2"/>
  <c r="H3" i="2"/>
  <c r="I4" i="2"/>
  <c r="K6" i="2"/>
  <c r="B9" i="2"/>
  <c r="C10" i="2"/>
  <c r="E12" i="2"/>
  <c r="F13" i="2"/>
  <c r="G14" i="2"/>
  <c r="H15" i="2"/>
  <c r="I16" i="2"/>
  <c r="J17" i="2"/>
  <c r="K18" i="2"/>
  <c r="B21" i="2"/>
  <c r="C22" i="2"/>
  <c r="E24" i="2"/>
  <c r="F25" i="2"/>
  <c r="G26" i="2"/>
  <c r="H27" i="2"/>
  <c r="I28" i="2"/>
  <c r="J29" i="2"/>
  <c r="K30" i="2"/>
  <c r="B33" i="2"/>
  <c r="C34" i="2"/>
  <c r="D34" i="2" s="1"/>
  <c r="E36" i="2"/>
  <c r="F37" i="2"/>
  <c r="G38" i="2"/>
  <c r="H39" i="2"/>
  <c r="I40" i="2"/>
  <c r="H2" i="2"/>
  <c r="I3" i="2"/>
  <c r="J4" i="2"/>
  <c r="B8" i="2"/>
  <c r="C9" i="2"/>
  <c r="E11" i="2"/>
  <c r="F12" i="2"/>
  <c r="G13" i="2"/>
  <c r="H14" i="2"/>
  <c r="I15" i="2"/>
  <c r="J16" i="2"/>
  <c r="K17" i="2"/>
  <c r="B20" i="2"/>
  <c r="C21" i="2"/>
  <c r="E23" i="2"/>
  <c r="F24" i="2"/>
  <c r="G25" i="2"/>
  <c r="H26" i="2"/>
  <c r="I27" i="2"/>
  <c r="J28" i="2"/>
  <c r="K29" i="2"/>
  <c r="B32" i="2"/>
  <c r="C33" i="2"/>
  <c r="E35" i="2"/>
  <c r="F36" i="2"/>
  <c r="G37" i="2"/>
  <c r="I39" i="2"/>
  <c r="J40" i="2"/>
  <c r="K41" i="2"/>
  <c r="I41" i="2"/>
  <c r="I2" i="2"/>
  <c r="J3" i="2"/>
  <c r="K4" i="2"/>
  <c r="B7" i="2"/>
  <c r="C8" i="2"/>
  <c r="E10" i="2"/>
  <c r="F11" i="2"/>
  <c r="G12" i="2"/>
  <c r="H13" i="2"/>
  <c r="I14" i="2"/>
  <c r="J15" i="2"/>
  <c r="K16" i="2"/>
  <c r="B19" i="2"/>
  <c r="C20" i="2"/>
  <c r="D20" i="2" s="1"/>
  <c r="E22" i="2"/>
  <c r="F23" i="2"/>
  <c r="G24" i="2"/>
  <c r="H25" i="2"/>
  <c r="I26" i="2"/>
  <c r="J27" i="2"/>
  <c r="K28" i="2"/>
  <c r="B31" i="2"/>
  <c r="C32" i="2"/>
  <c r="E34" i="2"/>
  <c r="F35" i="2"/>
  <c r="G36" i="2"/>
  <c r="H37" i="2"/>
  <c r="I38" i="2"/>
  <c r="J39" i="2"/>
  <c r="K40" i="2"/>
  <c r="J5" i="2"/>
  <c r="H38" i="2"/>
  <c r="J33" i="2"/>
  <c r="H29" i="2"/>
  <c r="J10" i="2"/>
  <c r="H18" i="2"/>
  <c r="J7" i="2"/>
  <c r="H21" i="2"/>
  <c r="H32" i="2"/>
  <c r="H31" i="2"/>
  <c r="J41" i="2"/>
  <c r="J2" i="2"/>
  <c r="K3" i="2"/>
  <c r="B6" i="2"/>
  <c r="C7" i="2"/>
  <c r="E9" i="2"/>
  <c r="F10" i="2"/>
  <c r="G11" i="2"/>
  <c r="H12" i="2"/>
  <c r="J14" i="2"/>
  <c r="K15" i="2"/>
  <c r="B18" i="2"/>
  <c r="C19" i="2"/>
  <c r="E21" i="2"/>
  <c r="F22" i="2"/>
  <c r="G23" i="2"/>
  <c r="H24" i="2"/>
  <c r="I25" i="2"/>
  <c r="J26" i="2"/>
  <c r="K27" i="2"/>
  <c r="B30" i="2"/>
  <c r="C31" i="2"/>
  <c r="E33" i="2"/>
  <c r="F34" i="2"/>
  <c r="G35" i="2"/>
  <c r="H36" i="2"/>
  <c r="I37" i="2"/>
  <c r="J38" i="2"/>
  <c r="K39" i="2"/>
  <c r="H33" i="2"/>
  <c r="I13" i="2"/>
  <c r="K5" i="2"/>
  <c r="I18" i="2"/>
  <c r="K7" i="2"/>
  <c r="I21" i="2"/>
  <c r="I32" i="2"/>
  <c r="K2" i="2"/>
  <c r="B5" i="2"/>
  <c r="C6" i="2"/>
  <c r="E8" i="2"/>
  <c r="F9" i="2"/>
  <c r="G10" i="2"/>
  <c r="H11" i="2"/>
  <c r="I12" i="2"/>
  <c r="J13" i="2"/>
  <c r="K14" i="2"/>
  <c r="B17" i="2"/>
  <c r="C18" i="2"/>
  <c r="D18" i="2" s="1"/>
  <c r="E20" i="2"/>
  <c r="F21" i="2"/>
  <c r="G22" i="2"/>
  <c r="H23" i="2"/>
  <c r="I24" i="2"/>
  <c r="J25" i="2"/>
  <c r="K26" i="2"/>
  <c r="B29" i="2"/>
  <c r="C30" i="2"/>
  <c r="E32" i="2"/>
  <c r="F33" i="2"/>
  <c r="G34" i="2"/>
  <c r="H35" i="2"/>
  <c r="I36" i="2"/>
  <c r="J37" i="2"/>
  <c r="K38" i="2"/>
  <c r="B41" i="2"/>
  <c r="H5" i="2"/>
  <c r="H10" i="2"/>
  <c r="H7" i="2"/>
  <c r="B4" i="2"/>
  <c r="C5" i="2"/>
  <c r="D5" i="2" s="1"/>
  <c r="E7" i="2"/>
  <c r="F8" i="2"/>
  <c r="G9" i="2"/>
  <c r="I11" i="2"/>
  <c r="J12" i="2"/>
  <c r="K13" i="2"/>
  <c r="B16" i="2"/>
  <c r="C17" i="2"/>
  <c r="E19" i="2"/>
  <c r="F20" i="2"/>
  <c r="G21" i="2"/>
  <c r="H22" i="2"/>
  <c r="I23" i="2"/>
  <c r="J24" i="2"/>
  <c r="K25" i="2"/>
  <c r="B28" i="2"/>
  <c r="C29" i="2"/>
  <c r="E31" i="2"/>
  <c r="F32" i="2"/>
  <c r="G33" i="2"/>
  <c r="H34" i="2"/>
  <c r="I35" i="2"/>
  <c r="J36" i="2"/>
  <c r="K37" i="2"/>
  <c r="B40" i="2"/>
  <c r="C41" i="2"/>
  <c r="D36" i="2" l="1"/>
  <c r="D10" i="2"/>
  <c r="D21" i="2"/>
  <c r="D25" i="2"/>
  <c r="D33" i="2"/>
  <c r="L12" i="2"/>
  <c r="L11" i="2"/>
  <c r="D13" i="2"/>
  <c r="D38" i="2"/>
  <c r="D8" i="2"/>
  <c r="D32" i="2"/>
  <c r="D15" i="2"/>
  <c r="D7" i="2"/>
  <c r="D17" i="2"/>
  <c r="D30" i="2"/>
  <c r="D41" i="2"/>
  <c r="D9" i="2"/>
  <c r="D23" i="2"/>
  <c r="D11" i="2"/>
  <c r="D6" i="2"/>
  <c r="D12" i="2"/>
  <c r="D2" i="2"/>
  <c r="D27" i="2"/>
  <c r="D19" i="2"/>
  <c r="D24" i="2"/>
  <c r="D14" i="2"/>
  <c r="D39" i="2"/>
  <c r="D3" i="2"/>
  <c r="L20" i="2"/>
  <c r="L9" i="2"/>
  <c r="L24" i="2"/>
  <c r="L37" i="2"/>
  <c r="L14" i="2"/>
  <c r="L29" i="2"/>
  <c r="D40" i="2"/>
  <c r="L19" i="2"/>
  <c r="L34" i="2"/>
  <c r="D22" i="2"/>
  <c r="D35" i="2"/>
  <c r="L39" i="2"/>
  <c r="L16" i="2"/>
  <c r="L32" i="2"/>
  <c r="L21" i="2"/>
  <c r="L6" i="2"/>
  <c r="L36" i="2"/>
  <c r="L26" i="2"/>
  <c r="L41" i="2"/>
  <c r="D4" i="2"/>
  <c r="L31" i="2"/>
  <c r="L3" i="2"/>
  <c r="L28" i="2"/>
  <c r="D29" i="2"/>
  <c r="L33" i="2"/>
  <c r="L23" i="2"/>
  <c r="I29" i="2"/>
  <c r="D26" i="2"/>
  <c r="L18" i="2"/>
  <c r="D31" i="2"/>
  <c r="L13" i="2"/>
  <c r="L38" i="2"/>
  <c r="L5" i="2"/>
  <c r="D16" i="2"/>
  <c r="L10" i="2"/>
  <c r="L15" i="2"/>
  <c r="L40" i="2"/>
  <c r="L8" i="2"/>
  <c r="L35" i="2"/>
  <c r="L30" i="2"/>
  <c r="L25" i="2"/>
  <c r="L17" i="2"/>
  <c r="D28" i="2"/>
  <c r="L7" i="2"/>
  <c r="L22" i="2"/>
  <c r="L27" i="2"/>
  <c r="L4" i="2"/>
  <c r="M10" i="2" l="1"/>
</calcChain>
</file>

<file path=xl/sharedStrings.xml><?xml version="1.0" encoding="utf-8"?>
<sst xmlns="http://schemas.openxmlformats.org/spreadsheetml/2006/main" count="376" uniqueCount="354">
  <si>
    <t>Start Time</t>
  </si>
  <si>
    <t>Start Location</t>
  </si>
  <si>
    <t>End Time</t>
  </si>
  <si>
    <t>End Location</t>
  </si>
  <si>
    <t>Total KM</t>
  </si>
  <si>
    <t>Running Hrs</t>
  </si>
  <si>
    <t>Idle Hrs</t>
  </si>
  <si>
    <t>Date</t>
  </si>
  <si>
    <t>Start Decimal Hr</t>
  </si>
  <si>
    <t>End Decimal Hr</t>
  </si>
  <si>
    <t>Slot 1 (12AM-10AM)</t>
  </si>
  <si>
    <t>Slot 2 (10AM-4PM)</t>
  </si>
  <si>
    <t>Slot 3 (4PM-8PM)</t>
  </si>
  <si>
    <t>Slot 4 (8PM-11:59PM)</t>
  </si>
  <si>
    <t>Distance Bucket</t>
  </si>
  <si>
    <t xml:space="preserve">UP78KT8353 </t>
  </si>
  <si>
    <t>19-06-2026 00:00:01</t>
  </si>
  <si>
    <t>Canal Road, Phool Bagh, Civil Lines, Kanpur, Uttar Pradesh 208001, India-No Nearest POI</t>
  </si>
  <si>
    <t>19-06-2026 23:25:16</t>
  </si>
  <si>
    <t>11:59:09</t>
  </si>
  <si>
    <t>12:00:51</t>
  </si>
  <si>
    <t xml:space="preserve">UP78JN3415 </t>
  </si>
  <si>
    <t>19-06-2026 01:32:15</t>
  </si>
  <si>
    <t>3/16, New Azad Nagar, Bye pass Road, Opposite Dehali Sujanpura Kesa, Daheli Sujanpur KDA Colony, Kanpur, Uttar Pradesh 208014, India-No Nearest POI</t>
  </si>
  <si>
    <t>19-06-2026 23:45:28</t>
  </si>
  <si>
    <t>8 Vidya Nagar Yahsoda Naga, Satbari Road, Daheli Sujanpur, Kanpur, Uttar Pradesh 208011, India-No Nearest POI</t>
  </si>
  <si>
    <t>14:37:07</t>
  </si>
  <si>
    <t>09:22:53</t>
  </si>
  <si>
    <t xml:space="preserve">UP78GT3263 </t>
  </si>
  <si>
    <t>19-06-2026 09:53:38</t>
  </si>
  <si>
    <t>LIG 8/9ambedkarpuram avasvikas-3 LIG 8/9ambedkarpuram avasvikas-3, Kalyanpur, Kanpur, Uttar Pradesh 208017, India-No Nearest POI</t>
  </si>
  <si>
    <t>19-06-2026 20:08:01</t>
  </si>
  <si>
    <t>05:39:03</t>
  </si>
  <si>
    <t>18:20:57</t>
  </si>
  <si>
    <t xml:space="preserve">UP78GT3265 </t>
  </si>
  <si>
    <t>19-06-2026 00:31:18</t>
  </si>
  <si>
    <t>Jareeb Chauki Bus Stop, Rai Purwa, Kanpur, Uttar Pradesh 208012, India-No Nearest POI</t>
  </si>
  <si>
    <t>19-06-2026 23:49:16</t>
  </si>
  <si>
    <t>09:36:11</t>
  </si>
  <si>
    <t>14:23:49</t>
  </si>
  <si>
    <t xml:space="preserve">UP78GT3277 </t>
  </si>
  <si>
    <t>19-06-2026 01:26:27</t>
  </si>
  <si>
    <t>Kakadav Road, Ambedkar Nagar, Navin Nagar, Kakadeo, Kanpur, Uttar Pradesh 208025, India-No Nearest POI</t>
  </si>
  <si>
    <t>11:11:45</t>
  </si>
  <si>
    <t>12:48:15</t>
  </si>
  <si>
    <t xml:space="preserve">UP78GT3262 </t>
  </si>
  <si>
    <t>19-06-2026 00:21:08</t>
  </si>
  <si>
    <t>827B, Panki Road, Shahpur, Swaraj Nagar, Kanpur, Uttar Pradesh 208020, India-No Nearest POI</t>
  </si>
  <si>
    <t>19-06-2026 23:45:23</t>
  </si>
  <si>
    <t>guru kripa 485, 7, B Block, Panki, Kanpur, Uttar Pradesh 208020, India-No Nearest POI</t>
  </si>
  <si>
    <t>09:14:44</t>
  </si>
  <si>
    <t>14:45:16</t>
  </si>
  <si>
    <t xml:space="preserve">UP78GT3264 </t>
  </si>
  <si>
    <t>19-06-2026 10:29:08</t>
  </si>
  <si>
    <t>City By Pass, Kidwai Nagar-No Nearest POI</t>
  </si>
  <si>
    <t>19-06-2026 17:17:13</t>
  </si>
  <si>
    <t>01:01:44</t>
  </si>
  <si>
    <t>22:58:16</t>
  </si>
  <si>
    <t xml:space="preserve">UP78GT3266 </t>
  </si>
  <si>
    <t>19-06-2026 00:00:14</t>
  </si>
  <si>
    <t>Bithoor Rd, Singhpur, Kalyanpur, Kanpur, Uttar Pradesh 208017, India-No Nearest POI</t>
  </si>
  <si>
    <t>19-06-2026 23:52:50</t>
  </si>
  <si>
    <t>HIG-37, Indira Nagar, Kalyanpur, Kanpur, Uttar Pradesh 208017, India-No Nearest POI</t>
  </si>
  <si>
    <t>06:40:52</t>
  </si>
  <si>
    <t>17:19:08</t>
  </si>
  <si>
    <t xml:space="preserve">UP78KT8354 </t>
  </si>
  <si>
    <t>19-06-2026 01:11:51</t>
  </si>
  <si>
    <t>Canal Road, Sadr Bazaar, Mirpur, Kanpur, Uttar Pradesh 208001, India-No Nearest POI</t>
  </si>
  <si>
    <t>19-06-2026 23:56:16</t>
  </si>
  <si>
    <t>63/2A ,2nd Floor ,Shri Balaji Complex The Mall,, Kanpur, Uttar Pradesh 208001, India-No Nearest POI</t>
  </si>
  <si>
    <t>05:00:06</t>
  </si>
  <si>
    <t>18:59:54</t>
  </si>
  <si>
    <t xml:space="preserve">UP78KT8348 </t>
  </si>
  <si>
    <t>19-06-2026 00:10:59</t>
  </si>
  <si>
    <t>Infomania Internet Cafe, Hans Puram-No Nearest POI</t>
  </si>
  <si>
    <t>19-06-2026 23:44:17</t>
  </si>
  <si>
    <t>Annapurna Restaurant, Naubasta-No Nearest POI</t>
  </si>
  <si>
    <t>14:44:35</t>
  </si>
  <si>
    <t>09:15:25</t>
  </si>
  <si>
    <t xml:space="preserve">UP78GT4969 </t>
  </si>
  <si>
    <t>19-06-2026 00:30:00</t>
  </si>
  <si>
    <t>19-06-2026 20:56:43</t>
  </si>
  <si>
    <t>59/74, Birhana Rd, Kalyani Market, General Ganj, Kanpur, Uttar Pradesh 208001, India-No Nearest POI</t>
  </si>
  <si>
    <t>08:49:14</t>
  </si>
  <si>
    <t>15:10:46</t>
  </si>
  <si>
    <t xml:space="preserve">UP78KT8349 </t>
  </si>
  <si>
    <t>19-06-2026 00:18:49</t>
  </si>
  <si>
    <t>Jhansi-Kanpur Highway, Saraimita, Kanpur, Uttar Pradesh 208020, India-No Nearest POI</t>
  </si>
  <si>
    <t>19-06-2026 20:04:41</t>
  </si>
  <si>
    <t>06:11:44</t>
  </si>
  <si>
    <t>17:48:16</t>
  </si>
  <si>
    <t xml:space="preserve">UP78KT6808 </t>
  </si>
  <si>
    <t>19-06-2026 02:51:04</t>
  </si>
  <si>
    <t>19-06-2026 23:01:11</t>
  </si>
  <si>
    <t>05:31:51</t>
  </si>
  <si>
    <t>18:28:09</t>
  </si>
  <si>
    <t xml:space="preserve">UP78GT4963 </t>
  </si>
  <si>
    <t>19-06-2026 00:07:10</t>
  </si>
  <si>
    <t>118/617, 118/109, Mariampur Rd, Near Najirabad Thana, Kaushalpuri, Darshan Purwa, Kanpur, Uttar Pradesh 208005, India-No Nearest POI</t>
  </si>
  <si>
    <t>19-06-2026 23:55:09</t>
  </si>
  <si>
    <t>58/5, Birhana Road, Naughara, General Ganj, Kanpur, Uttar Pradesh 208001, India-No Nearest POI</t>
  </si>
  <si>
    <t>11:12:31</t>
  </si>
  <si>
    <t>12:47:29</t>
  </si>
  <si>
    <t xml:space="preserve">UP78KT6804 </t>
  </si>
  <si>
    <t>19-06-2026 00:08:26</t>
  </si>
  <si>
    <t>ganga vihar Rd, J K Puri-No Nearest POI</t>
  </si>
  <si>
    <t>19-06-2026 23:12:25</t>
  </si>
  <si>
    <t>Dasu Kuan, Naubasta-No Nearest POI</t>
  </si>
  <si>
    <t>12:53:32</t>
  </si>
  <si>
    <t>11:06:28</t>
  </si>
  <si>
    <t xml:space="preserve">UP78GT4955 </t>
  </si>
  <si>
    <t>19-06-2026 03:52:49</t>
  </si>
  <si>
    <t>77, 60 Feet Sanigawan Rd, Tiranga Chauraha, Mangla VIhar II, Daheli Sujanpur, Kanpur, Uttar Pradesh 208021, India-No Nearest POI</t>
  </si>
  <si>
    <t>19-06-2026 22:50:15</t>
  </si>
  <si>
    <t>Golf Course Road, Kanpur Cantonment, Kanpur, Uttar Pradesh 208004, India-No Nearest POI</t>
  </si>
  <si>
    <t>05:54:22</t>
  </si>
  <si>
    <t>18:05:38</t>
  </si>
  <si>
    <t xml:space="preserve">UP78GT4960 </t>
  </si>
  <si>
    <t>19-06-2026 00:11:01</t>
  </si>
  <si>
    <t>KIDWAINAGAR, Y-BLOCK, BYEP, KANPUR NAGAR, Uttar Pradesh 208011, India-No Nearest POI</t>
  </si>
  <si>
    <t>19-06-2026 23:53:20</t>
  </si>
  <si>
    <t>332/2, Babu Purva Colony, Kidwai Nagar, Kanpur, Uttar Pradesh 208011, India-No Nearest POI</t>
  </si>
  <si>
    <t>10:58:46</t>
  </si>
  <si>
    <t>13:01:14</t>
  </si>
  <si>
    <t xml:space="preserve">UP78GT4959 </t>
  </si>
  <si>
    <t>19-06-2026 00:07:51</t>
  </si>
  <si>
    <t>150 Feet Road, Gajju Purwa, J K Puri, Kanpur, Uttar Pradesh 208010, India-No Nearest POI</t>
  </si>
  <si>
    <t>19-06-2026 23:49:55</t>
  </si>
  <si>
    <t>76, 150 Feet Road, Jagai Pura, Jajmau, Kanpur, Uttar Pradesh 208021, India-No Nearest POI</t>
  </si>
  <si>
    <t>18:22:11</t>
  </si>
  <si>
    <t>05:37:49</t>
  </si>
  <si>
    <t xml:space="preserve">UP78GT4964 </t>
  </si>
  <si>
    <t>19-06-2026 08:43:13</t>
  </si>
  <si>
    <t>11, Rajendranagar, Gatampur, Kanpur, Uttar Pradesh 208021, India-No Nearest POI</t>
  </si>
  <si>
    <t>19-06-2026 13:24:24</t>
  </si>
  <si>
    <t>48,, Uptron Estate, Panki, Kanpur, Uttar Pradesh 208022, India-No Nearest POI</t>
  </si>
  <si>
    <t>03:14:56</t>
  </si>
  <si>
    <t>20:45:04</t>
  </si>
  <si>
    <t xml:space="preserve">UP78GT4981 </t>
  </si>
  <si>
    <t>19-06-2026 09:19:04</t>
  </si>
  <si>
    <t>138/97A, Shri Ram Market, Vishwakarma Nagar,, Sanigawan Road,, Kanpur, Uttar Pradesh 208021, India-No Nearest POI</t>
  </si>
  <si>
    <t>19-06-2026 23:10:11</t>
  </si>
  <si>
    <t>07:22:56</t>
  </si>
  <si>
    <t>16:37:04</t>
  </si>
  <si>
    <t xml:space="preserve">UP78GT5309 </t>
  </si>
  <si>
    <t>19-06-2026 00:05:52</t>
  </si>
  <si>
    <t>Indian Oil Petrol Pump, Hans Puram-No Nearest POI</t>
  </si>
  <si>
    <t>19-06-2026 23:42:38</t>
  </si>
  <si>
    <t>Arra Road, Naubasta, Kanpur, Uttar Pradesh 208021, India-No Nearest POI</t>
  </si>
  <si>
    <t>13:00:12</t>
  </si>
  <si>
    <t>10:59:48</t>
  </si>
  <si>
    <t xml:space="preserve">UP78GT3267 </t>
  </si>
  <si>
    <t>19-06-2026 00:21:31</t>
  </si>
  <si>
    <t>Kanpur - Jhansi Hwy, Barra 8, Barra, Kanpur, Uttar Pradesh 208027, India-No Nearest POI</t>
  </si>
  <si>
    <t>19-06-2026 22:23:02</t>
  </si>
  <si>
    <t>04:11:34</t>
  </si>
  <si>
    <t>19:48:26</t>
  </si>
  <si>
    <t>UP78JN2761 ( )</t>
  </si>
  <si>
    <t>19-06-2026 00:00:21</t>
  </si>
  <si>
    <t>Anjali hospital, Barra-No Nearest POI</t>
  </si>
  <si>
    <t>19-06-2026 23:57:32</t>
  </si>
  <si>
    <t>Kadepur Rd, Yogendra Vihar, Naubasta, Kanpur, Uttar Pradesh 208021, India-No Nearest POI</t>
  </si>
  <si>
    <t>11:22:01</t>
  </si>
  <si>
    <t>12:37:59</t>
  </si>
  <si>
    <t>UP78JN2759 ( )</t>
  </si>
  <si>
    <t>19-06-2026 00:28:40</t>
  </si>
  <si>
    <t>17, Barra Main Road, Barra World Bank, Kanpur, Uttar Pradesh 208027, India-No Nearest POI</t>
  </si>
  <si>
    <t>19-06-2026 23:57:41</t>
  </si>
  <si>
    <t>124-a/585, Kanpur, A Block, Govind Nagar Railway Colony, Kanpur, Uttar Pradesh 208006, India-No Nearest POI</t>
  </si>
  <si>
    <t>12:36:48</t>
  </si>
  <si>
    <t>11:23:12</t>
  </si>
  <si>
    <t>UP78KT 8351 ( )</t>
  </si>
  <si>
    <t>19-06-2026 00:33:27</t>
  </si>
  <si>
    <t>19-06-2026 23:16:34</t>
  </si>
  <si>
    <t>Kalyanpur Railway Station, Kalyanpur-No Nearest POI</t>
  </si>
  <si>
    <t>09:39:27</t>
  </si>
  <si>
    <t>14:20:33</t>
  </si>
  <si>
    <t>UP78JN4271 ( )</t>
  </si>
  <si>
    <t>19-06-2026 02:59:03</t>
  </si>
  <si>
    <t>337, Block D, Scheme No. 39, Defence Colony, Jajmau-Kanpur, Kanpur Nagar, Uttar Pradesh 208010, India-No Nearest POI</t>
  </si>
  <si>
    <t>19-06-2026 22:18:27</t>
  </si>
  <si>
    <t>12/10 Gwaltoli,Opp, Thana, Kanpur, Uttar Pradesh 208001, India-No Nearest POI</t>
  </si>
  <si>
    <t>09:03:09</t>
  </si>
  <si>
    <t>14:56:51</t>
  </si>
  <si>
    <t>UP78JN2762 ( )</t>
  </si>
  <si>
    <t>19-06-2026 02:36:19</t>
  </si>
  <si>
    <t>79/23 bhatam bagiya bansmandi kanpur 79/23 bhatam bagiya, Bansmandi, Cooperganj, Kanpur, Uttar Pradesh 208003, India-No Nearest POI</t>
  </si>
  <si>
    <t>19-06-2026 20:53:56</t>
  </si>
  <si>
    <t>85/57, Cooperganj,, Kanpur, Uttar Pradesh 208003, India-No Nearest POI</t>
  </si>
  <si>
    <t>07:10:35</t>
  </si>
  <si>
    <t>16:49:25</t>
  </si>
  <si>
    <t>UP78GT4961 ( )</t>
  </si>
  <si>
    <t>19-06-2026 00:01:33</t>
  </si>
  <si>
    <t>313, Panki, Gangaganj, Panki, Kanpur, Uttar Pradesh 208020, India-No Nearest POI</t>
  </si>
  <si>
    <t>19-06-2026 23:47:04</t>
  </si>
  <si>
    <t>11:57:42</t>
  </si>
  <si>
    <t>12:02:18</t>
  </si>
  <si>
    <t>UP78KT8350 ( )</t>
  </si>
  <si>
    <t>19-06-2026 00:37:59</t>
  </si>
  <si>
    <t>Hamirpur Rd, Naubasta, Kanpur, Uttar Pradesh 208021, India-No Nearest POI</t>
  </si>
  <si>
    <t>19-06-2026 23:39:34</t>
  </si>
  <si>
    <t>09:24:47</t>
  </si>
  <si>
    <t>14:35:13</t>
  </si>
  <si>
    <t>UP78JN2763 ( )</t>
  </si>
  <si>
    <t>19-06-2026 00:01:02</t>
  </si>
  <si>
    <t>627/1727, Vijay Nagar - Kalyanpur Rd, Shiv Nagar, Vijay Nagar - Kalyanpur Rd, Shiv Nagar, Kalyanpur, Kanpur, Uttar Pradesh 208019, India-No Nearest POI</t>
  </si>
  <si>
    <t>19-06-2026 23:52:26</t>
  </si>
  <si>
    <t>115/248, Maswanpur, Kanpur, Uttar Pradesh 208019, India-No Nearest POI</t>
  </si>
  <si>
    <t>16:48:58</t>
  </si>
  <si>
    <t>07:11:02</t>
  </si>
  <si>
    <t>UP78KT4272 ( )</t>
  </si>
  <si>
    <t>19-06-2026 00:00:13</t>
  </si>
  <si>
    <t>James Monro Street, Khalasi Line, Kanpur, Uttar Pradesh 208001, India-No Nearest POI</t>
  </si>
  <si>
    <t>19-06-2026 23:51:37</t>
  </si>
  <si>
    <t>Charles Baker Avenue, Purana Kanpur, Kanpur, Uttar Pradesh 208002, India-No Nearest POI</t>
  </si>
  <si>
    <t>08:08:46</t>
  </si>
  <si>
    <t>15:51:14</t>
  </si>
  <si>
    <t>UP78KT4270 ( )</t>
  </si>
  <si>
    <t>19-06-2026 00:07:47</t>
  </si>
  <si>
    <t>3/19, Shiv Katra, G T Road,, Kanpur, Uttar Pradesh 208007, India-No Nearest POI</t>
  </si>
  <si>
    <t>19-06-2026 23:55:32</t>
  </si>
  <si>
    <t>184-A Kaliwadi Near Sharma Kulfi Main Road, Lal Bangla, J K Puri, Kanpur, Uttar Pradesh 208007, India-No Nearest POI</t>
  </si>
  <si>
    <t>17:07:44</t>
  </si>
  <si>
    <t>06:52:16</t>
  </si>
  <si>
    <t>UP78KT8347 ( )</t>
  </si>
  <si>
    <t>19-06-2026 00:02:52</t>
  </si>
  <si>
    <t>CTI Chauraha, Govind Nagar-No Nearest POI</t>
  </si>
  <si>
    <t>19-06-2026 23:56:13</t>
  </si>
  <si>
    <t>45, Kailash Mandir, Kanpur Nagar, Kanpur, Uttar Pradesh 208001, India-No Nearest POI</t>
  </si>
  <si>
    <t>11:03:16</t>
  </si>
  <si>
    <t>12:56:44</t>
  </si>
  <si>
    <t>UP78KT8352 ( )</t>
  </si>
  <si>
    <t>19-06-2026 00:10:01</t>
  </si>
  <si>
    <t>Khalasi Line, Arya Nagar, Kanpur, Uttar Pradesh 208002, India-No Nearest POI</t>
  </si>
  <si>
    <t>19-06-2026 23:35:47</t>
  </si>
  <si>
    <t>idgah old colony kanpur, Eidgah Rd, Sant Lal Ka Bagicha, Benajhabar, Arya Nagar, Kanpur, Uttar Pradesh 208002, India-No Nearest POI</t>
  </si>
  <si>
    <t>07:58:08</t>
  </si>
  <si>
    <t>16:01:52</t>
  </si>
  <si>
    <t>UP78GT3615 ( )</t>
  </si>
  <si>
    <t>19-06-2026 00:08:41</t>
  </si>
  <si>
    <t>Dayal Road, Khalasi Line, Kanpur, Uttar Pradesh 208002, India-No Nearest POI</t>
  </si>
  <si>
    <t>19-06-2026 22:44:13</t>
  </si>
  <si>
    <t>Chandra Gupta Road, Harsh Nagar, Kanpur, Uttar Pradesh 208002, India-No Nearest POI</t>
  </si>
  <si>
    <t>07:40:45</t>
  </si>
  <si>
    <t>16:19:15</t>
  </si>
  <si>
    <t>UP78KT8355 ( )</t>
  </si>
  <si>
    <t>19-06-2026 00:02:32</t>
  </si>
  <si>
    <t>11, Satbari Road, Daheli Sujanpur, Kanpur, Uttar Pradesh 208011, India-No Nearest POI</t>
  </si>
  <si>
    <t>19-06-2026 23:57:50</t>
  </si>
  <si>
    <t>20, Bhawani Nagar, Daheli Sujanpur, Kanpur, Uttar Pradesh 208013, India-No Nearest POI</t>
  </si>
  <si>
    <t>12:43:52</t>
  </si>
  <si>
    <t>11:16:08</t>
  </si>
  <si>
    <t>UP78KT8356 ( )</t>
  </si>
  <si>
    <t>19-06-2026 09:52:27</t>
  </si>
  <si>
    <t>19-06-2026 23:53:40</t>
  </si>
  <si>
    <t>05:38:53</t>
  </si>
  <si>
    <t>18:21:07</t>
  </si>
  <si>
    <t>UP78JN8997 ( )</t>
  </si>
  <si>
    <t>19-06-2026 00:00:22</t>
  </si>
  <si>
    <t>Kesapur Nagar, Nawabganj, Kanpur, Uttar Pradesh 208002, India-No Nearest POI</t>
  </si>
  <si>
    <t>19-06-2026 23:47:37</t>
  </si>
  <si>
    <t>Indra Road, Khyora, Kanpur, Uttar Pradesh 208002, India-No Nearest POI</t>
  </si>
  <si>
    <t>14:06:13</t>
  </si>
  <si>
    <t>09:53:47</t>
  </si>
  <si>
    <t>UP78KT6809 ( )</t>
  </si>
  <si>
    <t>19-06-2026 01:02:20</t>
  </si>
  <si>
    <t>19-06-2026 20:58:15</t>
  </si>
  <si>
    <t>04:56:35</t>
  </si>
  <si>
    <t>19:03:25</t>
  </si>
  <si>
    <t>UP78LN5012 ( )</t>
  </si>
  <si>
    <t>19-06-2026 01:07:07</t>
  </si>
  <si>
    <t>Bithoor Rd, Ramel Nagar, Balmiki Nagar, Bithoor, Kanpur, Uttar Pradesh 209201, India-No Nearest POI</t>
  </si>
  <si>
    <t>19-06-2026 23:53:00</t>
  </si>
  <si>
    <t>Bithoor Rd, Northern Rly. Colony, Uttar Pradesh 208017, India-No Nearest POI</t>
  </si>
  <si>
    <t>13:06:23</t>
  </si>
  <si>
    <t>10:53:37</t>
  </si>
  <si>
    <t>NOTE: To add more days, paste new rows directly below the last row of this table (columns A,C,D,E,F,G,H,I only — the rest are formulas and will auto-fill if you drag them down, or the Excel Table will auto-extend formulas automatically when you add a row right below the table).</t>
  </si>
  <si>
    <t>Vehicle No</t>
  </si>
  <si>
    <t>Total KM (All Days)</t>
  </si>
  <si>
    <t>Daily Avg KM</t>
  </si>
  <si>
    <t>Avg Running Hrs (Decimal)</t>
  </si>
  <si>
    <t>Days &gt;1 km</t>
  </si>
  <si>
    <t>Days &lt;=1 km</t>
  </si>
  <si>
    <t>Slot 1 Active Days</t>
  </si>
  <si>
    <t>Slot 2 Active Days</t>
  </si>
  <si>
    <t>Slot 3 Active Days</t>
  </si>
  <si>
    <t>Slot 4 Active Days</t>
  </si>
  <si>
    <t>UP78GT3262</t>
  </si>
  <si>
    <t>UP78GT3263</t>
  </si>
  <si>
    <t>UP78GT3264</t>
  </si>
  <si>
    <t>UP78GT3265</t>
  </si>
  <si>
    <t>UP78GT3266</t>
  </si>
  <si>
    <t>UP78GT3267</t>
  </si>
  <si>
    <t>UP78GT3277</t>
  </si>
  <si>
    <t>UP78GT3615</t>
  </si>
  <si>
    <t>UP78GT4955</t>
  </si>
  <si>
    <t>UP78GT4959</t>
  </si>
  <si>
    <t>UP78GT4960</t>
  </si>
  <si>
    <t>UP78GT4961</t>
  </si>
  <si>
    <t>UP78GT4963</t>
  </si>
  <si>
    <t>UP78GT4964</t>
  </si>
  <si>
    <t>UP78GT4969</t>
  </si>
  <si>
    <t>UP78GT4981</t>
  </si>
  <si>
    <t>UP78GT5309</t>
  </si>
  <si>
    <t>UP78JN2759</t>
  </si>
  <si>
    <t>UP78JN2761</t>
  </si>
  <si>
    <t>UP78JN2762</t>
  </si>
  <si>
    <t>UP78JN2763</t>
  </si>
  <si>
    <t>UP78JN3415</t>
  </si>
  <si>
    <t>UP78JN4271</t>
  </si>
  <si>
    <t>UP78JN8997</t>
  </si>
  <si>
    <t>UP78KT 8351</t>
  </si>
  <si>
    <t>UP78KT4270</t>
  </si>
  <si>
    <t>UP78KT4272</t>
  </si>
  <si>
    <t>UP78KT6804</t>
  </si>
  <si>
    <t>UP78KT6808</t>
  </si>
  <si>
    <t>UP78KT6809</t>
  </si>
  <si>
    <t>UP78KT8347</t>
  </si>
  <si>
    <t>UP78KT8348</t>
  </si>
  <si>
    <t>UP78KT8349</t>
  </si>
  <si>
    <t>UP78KT8350</t>
  </si>
  <si>
    <t>UP78KT8352</t>
  </si>
  <si>
    <t>UP78KT8353</t>
  </si>
  <si>
    <t>UP78KT8354</t>
  </si>
  <si>
    <t>UP78KT8355</t>
  </si>
  <si>
    <t>UP78KT8356</t>
  </si>
  <si>
    <t>UP78LN5012</t>
  </si>
  <si>
    <t>This sheet auto-recalculates as soon as you add more vehicle-day rows to the RawData sheet (same vehicle number appearing on multiple days will average correctly).</t>
  </si>
  <si>
    <t>VEHICLE TRACKING — ACTIVE DASHBOARD</t>
  </si>
  <si>
    <t>Fleet Daily Avg KM</t>
  </si>
  <si>
    <t>Vehicles &gt;1 km Today</t>
  </si>
  <si>
    <t>Vehicles &lt;=1 km Today</t>
  </si>
  <si>
    <t>Most Continuous Vehicle</t>
  </si>
  <si>
    <t>VEHICLES ACTIVE BY TIME SLOT (today)</t>
  </si>
  <si>
    <t>DISTANCE COVERED — BUCKETS (today)</t>
  </si>
  <si>
    <t>Time Slot</t>
  </si>
  <si>
    <t>Vehicles Active</t>
  </si>
  <si>
    <t>Bucket</t>
  </si>
  <si>
    <t>Vehicle Count</t>
  </si>
  <si>
    <t>12:00 AM - 10:00 AM</t>
  </si>
  <si>
    <t>Traveled &gt; 1 km</t>
  </si>
  <si>
    <t>10:00 AM - 4:00 PM</t>
  </si>
  <si>
    <t>Traveled &lt;= 1 km</t>
  </si>
  <si>
    <t>4:00 PM - 8:00 PM</t>
  </si>
  <si>
    <t>8:00 PM - 11:59 PM</t>
  </si>
  <si>
    <t>TOP 10 VEHICLES BY DAILY AVG KM</t>
  </si>
  <si>
    <t>Rank</t>
  </si>
  <si>
    <t xml:space="preserve">Vehicle No </t>
  </si>
  <si>
    <t xml:space="preserve">Vehicle.No </t>
  </si>
  <si>
    <t xml:space="preserve">Running Hrs </t>
  </si>
  <si>
    <t>Total</t>
  </si>
  <si>
    <t>Most Continuous</t>
  </si>
  <si>
    <t>Trips/Days</t>
  </si>
  <si>
    <t>Longest Distance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</si>
</sst>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9" x14ac:knownFonts="1">
    <font>
      <sz val="11"/>
      <color theme="1"/>
      <name val="Calibri"/>
      <family val="2"/>
      <charset val="1"/>
    </font>
    <font>
      <i/>
      <sz val="9"/>
      <color rgb="FFB45F06"/>
      <name val="Arial"/>
      <charset val="1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3"/>
      <color rgb="FF1F4E78"/>
      <name val="Arial"/>
      <family val="2"/>
    </font>
    <font>
      <sz val="11"/>
      <color theme="0"/>
      <name val="Calibri"/>
      <family val="2"/>
      <charset val="1"/>
    </font>
    <font>
      <sz val="10"/>
      <color theme="0"/>
      <name val="Arial"/>
      <family val="2"/>
    </font>
    <font>
      <b/>
      <sz val="13"/>
      <color theme="0"/>
      <name val="Arial"/>
      <family val="2"/>
    </font>
    <font>
      <b/>
      <sz val="14"/>
      <color rgb="FF1F4E78"/>
      <name val="Arial"/>
      <family val="2"/>
    </font>
    <font>
      <b/>
      <sz val="22"/>
      <color rgb="FF1F4E78"/>
      <name val="Arial"/>
      <family val="2"/>
    </font>
    <font>
      <sz val="10"/>
      <color rgb="FF666666"/>
      <name val="Arial"/>
      <family val="2"/>
    </font>
    <font>
      <i/>
      <sz val="10"/>
      <color rgb="FF666666"/>
      <name val="Arial"/>
      <family val="2"/>
    </font>
    <font>
      <b/>
      <sz val="18"/>
      <color rgb="FF1F4E78"/>
      <name val="Arial"/>
      <family val="2"/>
    </font>
    <font>
      <sz val="12"/>
      <name val="Times New Roman"/>
      <family val="1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7FC"/>
        <bgColor rgb="FFF9F9F9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/>
    <xf numFmtId="2" fontId="2" fillId="0" borderId="1" xfId="0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0" xfId="0" applyFont="1" applyFill="1"/>
    <xf numFmtId="0" fontId="3" fillId="0" borderId="1" xfId="0" applyFont="1" applyBorder="1"/>
    <xf numFmtId="2" fontId="3" fillId="0" borderId="1" xfId="0" applyNumberFormat="1" applyFont="1" applyBorder="1"/>
    <xf numFmtId="0" fontId="8" fillId="0" borderId="0" xfId="0" applyFont="1"/>
    <xf numFmtId="1" fontId="3" fillId="0" borderId="1" xfId="0" applyNumberFormat="1" applyFont="1" applyBorder="1"/>
    <xf numFmtId="0" fontId="9" fillId="5" borderId="0" xfId="0" applyFont="1" applyFill="1"/>
    <xf numFmtId="0" fontId="10" fillId="5" borderId="0" xfId="0" applyFont="1" applyFill="1"/>
    <xf numFmtId="0" fontId="5" fillId="4" borderId="0" xfId="0" applyFont="1" applyFill="1" applyAlignment="1">
      <alignment horizontal="center" vertical="center" wrapText="1"/>
    </xf>
    <xf numFmtId="0" fontId="11" fillId="5" borderId="0" xfId="0" applyFont="1" applyFill="1"/>
    <xf numFmtId="0" fontId="15" fillId="0" borderId="0" xfId="0" applyFont="1"/>
    <xf numFmtId="0" fontId="16" fillId="0" borderId="0" xfId="0" applyFont="1"/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2" fontId="17" fillId="0" borderId="1" xfId="0" applyNumberFormat="1" applyFont="1" applyBorder="1"/>
    <xf numFmtId="164" fontId="17" fillId="0" borderId="1" xfId="0" applyNumberFormat="1" applyFont="1" applyBorder="1"/>
    <xf numFmtId="0" fontId="18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/>
    <xf numFmtId="2" fontId="13" fillId="3" borderId="1" xfId="0" applyNumberFormat="1" applyFont="1" applyFill="1" applyBorder="1"/>
    <xf numFmtId="1" fontId="13" fillId="3" borderId="1" xfId="0" applyNumberFormat="1" applyFont="1" applyFill="1" applyBorder="1"/>
    <xf numFmtId="49" fontId="12" fillId="3" borderId="1" xfId="0" applyNumberFormat="1" applyFont="1" applyFill="1" applyBorder="1"/>
  </cellXfs>
  <cellStyles count="1">
    <cellStyle name="Normal" xfId="0" builtinId="0"/>
  </cellStyles>
  <dxfs count="36">
    <dxf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003366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left style="thin">
          <color rgb="FFCCCCCC"/>
        </left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border outline="0">
        <right style="thin">
          <color rgb="FFCCCCCC"/>
        </right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rgb="FF003366"/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9F9F9"/>
      <rgbColor rgb="FFF2F7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45F06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Vehicles Active by Time Slot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Dashboard!$E$11</c:f>
              <c:strCache>
                <c:ptCount val="1"/>
                <c:pt idx="0">
                  <c:v>Vehicles Active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Dashboard!$D$12:$D$15</c:f>
              <c:strCache>
                <c:ptCount val="4"/>
                <c:pt idx="0">
                  <c:v>12:00 AM - 10:00 AM</c:v>
                </c:pt>
                <c:pt idx="1">
                  <c:v>10:00 AM - 4:00 PM</c:v>
                </c:pt>
                <c:pt idx="2">
                  <c:v>4:00 PM - 8:00 PM</c:v>
                </c:pt>
                <c:pt idx="3">
                  <c:v>8:00 PM - 11:59 PM</c:v>
                </c:pt>
              </c:strCache>
            </c:strRef>
          </c:cat>
          <c:val>
            <c:numRef>
              <c:f>Dashboard!$E$12:$E$15</c:f>
              <c:numCache>
                <c:formatCode>0</c:formatCode>
                <c:ptCount val="4"/>
                <c:pt idx="0">
                  <c:v>39</c:v>
                </c:pt>
                <c:pt idx="1">
                  <c:v>40</c:v>
                </c:pt>
                <c:pt idx="2">
                  <c:v>39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8-4650-BC6D-DCDAC04B0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813649"/>
        <c:axId val="14828913"/>
      </c:barChart>
      <c:catAx>
        <c:axId val="358136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Slot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828913"/>
        <c:crosses val="autoZero"/>
        <c:auto val="1"/>
        <c:lblAlgn val="ctr"/>
        <c:lblOffset val="100"/>
        <c:noMultiLvlLbl val="0"/>
      </c:catAx>
      <c:valAx>
        <c:axId val="14828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Vehicle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8136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Distance Covered Today: &gt;1 km vs &lt;=1 km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Dashboard!$G$10</c:f>
              <c:strCache>
                <c:ptCount val="1"/>
                <c:pt idx="0">
                  <c:v>Vehicle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E12-4600-AFE2-CE3BF3B054D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6E12-4600-AFE2-CE3BF3B054D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12-4600-AFE2-CE3BF3B054D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12-4600-AFE2-CE3BF3B054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Dashboard!$F$11:$F$12</c:f>
              <c:strCache>
                <c:ptCount val="2"/>
                <c:pt idx="0">
                  <c:v>Traveled &gt; 1 km</c:v>
                </c:pt>
                <c:pt idx="1">
                  <c:v>Traveled &lt;= 1 km</c:v>
                </c:pt>
              </c:strCache>
            </c:strRef>
          </c:cat>
          <c:val>
            <c:numRef>
              <c:f>Dashboard!$G$11:$G$12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12-4600-AFE2-CE3BF3B05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Vehicles by Daily Avg KM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Dashboard!$D$38</c:f>
              <c:strCache>
                <c:ptCount val="1"/>
                <c:pt idx="0">
                  <c:v>Daily Avg KM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Dashboard!$C$39:$C$48</c:f>
              <c:strCache>
                <c:ptCount val="10"/>
                <c:pt idx="0">
                  <c:v>UP78GT4955</c:v>
                </c:pt>
                <c:pt idx="1">
                  <c:v>UP78KT6804</c:v>
                </c:pt>
                <c:pt idx="2">
                  <c:v>UP78JN2763</c:v>
                </c:pt>
                <c:pt idx="3">
                  <c:v>UP78LN5012</c:v>
                </c:pt>
                <c:pt idx="4">
                  <c:v>UP78GT4959</c:v>
                </c:pt>
                <c:pt idx="5">
                  <c:v>UP78JN3415</c:v>
                </c:pt>
                <c:pt idx="6">
                  <c:v>UP78KT4270</c:v>
                </c:pt>
                <c:pt idx="7">
                  <c:v>UP78GT3262</c:v>
                </c:pt>
                <c:pt idx="8">
                  <c:v>UP78KT8355</c:v>
                </c:pt>
                <c:pt idx="9">
                  <c:v>UP78KT8353</c:v>
                </c:pt>
              </c:strCache>
            </c:strRef>
          </c:cat>
          <c:val>
            <c:numRef>
              <c:f>Dashboard!$D$39:$D$48</c:f>
              <c:numCache>
                <c:formatCode>0.00</c:formatCode>
                <c:ptCount val="10"/>
                <c:pt idx="0">
                  <c:v>177.42999267578099</c:v>
                </c:pt>
                <c:pt idx="1">
                  <c:v>170.82000732421901</c:v>
                </c:pt>
                <c:pt idx="2">
                  <c:v>135.91000366210901</c:v>
                </c:pt>
                <c:pt idx="3">
                  <c:v>131.669998168945</c:v>
                </c:pt>
                <c:pt idx="4">
                  <c:v>102.790000915527</c:v>
                </c:pt>
                <c:pt idx="5">
                  <c:v>98.540000915527301</c:v>
                </c:pt>
                <c:pt idx="6">
                  <c:v>96.059997558593807</c:v>
                </c:pt>
                <c:pt idx="7">
                  <c:v>90.830001831054702</c:v>
                </c:pt>
                <c:pt idx="8">
                  <c:v>90.139999389648395</c:v>
                </c:pt>
                <c:pt idx="9">
                  <c:v>86.110000610351605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2-459A-8A9A-D828F15D2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43793"/>
        <c:axId val="28992909"/>
      </c:barChart>
      <c:catAx>
        <c:axId val="8104379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KM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92909"/>
        <c:crosses val="autoZero"/>
        <c:auto val="1"/>
        <c:lblAlgn val="ctr"/>
        <c:lblOffset val="100"/>
        <c:noMultiLvlLbl val="0"/>
      </c:catAx>
      <c:valAx>
        <c:axId val="289929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Vehicle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437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167040</xdr:rowOff>
    </xdr:from>
    <xdr:ext cx="5337403" cy="31565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7D043-FDEE-4F15-8E21-6F27DA344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537308</xdr:colOff>
      <xdr:row>15</xdr:row>
      <xdr:rowOff>137732</xdr:rowOff>
    </xdr:from>
    <xdr:ext cx="5349621" cy="3156541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5A172B-79C0-43FF-B5C1-F3CC7DCE1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557111</xdr:colOff>
      <xdr:row>35</xdr:row>
      <xdr:rowOff>27243</xdr:rowOff>
    </xdr:from>
    <xdr:ext cx="5710899" cy="421126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1599A0-83D5-4DBE-B72F-84CB97BA9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0.99467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6F5EACD2-D3B7-27B3-61AA-1028F9756F2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5358848" cy="3139712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nit\Downloads\Vehicle_Tracking_Active_Dashboard.xlsx" TargetMode="External"/><Relationship Id="rId1" Type="http://schemas.openxmlformats.org/officeDocument/2006/relationships/externalLinkPath" Target="Vehicle_Tracking_Active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Data"/>
      <sheetName val="Calculations"/>
    </sheetNames>
    <sheetDataSet>
      <sheetData sheetId="0">
        <row r="2">
          <cell r="G2">
            <v>86.110000610351605</v>
          </cell>
        </row>
        <row r="3">
          <cell r="G3">
            <v>98.540000915527301</v>
          </cell>
        </row>
        <row r="4">
          <cell r="G4">
            <v>60.529998779296903</v>
          </cell>
        </row>
        <row r="5">
          <cell r="G5">
            <v>44.099998474121101</v>
          </cell>
        </row>
        <row r="6">
          <cell r="G6">
            <v>49.840000152587898</v>
          </cell>
        </row>
        <row r="7">
          <cell r="G7">
            <v>90.830001831054702</v>
          </cell>
        </row>
        <row r="8">
          <cell r="G8">
            <v>20.870000839233398</v>
          </cell>
        </row>
        <row r="9">
          <cell r="G9">
            <v>40.069999694824197</v>
          </cell>
        </row>
        <row r="10">
          <cell r="G10">
            <v>41.169998168945298</v>
          </cell>
        </row>
        <row r="11">
          <cell r="G11">
            <v>60.380001068115199</v>
          </cell>
        </row>
        <row r="12">
          <cell r="G12">
            <v>22.9799995422363</v>
          </cell>
        </row>
        <row r="13">
          <cell r="G13">
            <v>46.509998321533203</v>
          </cell>
        </row>
        <row r="14">
          <cell r="G14">
            <v>60.549999237060597</v>
          </cell>
        </row>
        <row r="15">
          <cell r="G15">
            <v>39.110000610351598</v>
          </cell>
        </row>
        <row r="16">
          <cell r="G16">
            <v>170.82000732421901</v>
          </cell>
        </row>
        <row r="17">
          <cell r="G17">
            <v>177.42999267578099</v>
          </cell>
        </row>
        <row r="18">
          <cell r="G18">
            <v>51.900001525878899</v>
          </cell>
        </row>
        <row r="19">
          <cell r="G19">
            <v>102.790000915527</v>
          </cell>
        </row>
        <row r="20">
          <cell r="G20">
            <v>28.0100002288818</v>
          </cell>
        </row>
        <row r="21">
          <cell r="G21">
            <v>61.439998626708999</v>
          </cell>
        </row>
        <row r="22">
          <cell r="G22">
            <v>67.360000610351605</v>
          </cell>
        </row>
        <row r="23">
          <cell r="G23">
            <v>27.690000534057599</v>
          </cell>
        </row>
        <row r="24">
          <cell r="G24">
            <v>54.880001068115199</v>
          </cell>
        </row>
        <row r="25">
          <cell r="G25">
            <v>74.900001525878906</v>
          </cell>
        </row>
        <row r="26">
          <cell r="G26">
            <v>36.939998626708999</v>
          </cell>
        </row>
        <row r="27">
          <cell r="G27">
            <v>75.400001525878906</v>
          </cell>
        </row>
        <row r="28">
          <cell r="G28">
            <v>34.080001831054702</v>
          </cell>
        </row>
        <row r="29">
          <cell r="G29">
            <v>64.760002136230497</v>
          </cell>
        </row>
        <row r="30">
          <cell r="G30">
            <v>41.7299995422363</v>
          </cell>
        </row>
        <row r="31">
          <cell r="G31">
            <v>135.91000366210901</v>
          </cell>
        </row>
        <row r="32">
          <cell r="G32">
            <v>66.970001220703097</v>
          </cell>
        </row>
        <row r="33">
          <cell r="G33">
            <v>96.059997558593807</v>
          </cell>
        </row>
        <row r="34">
          <cell r="G34">
            <v>48.880001068115199</v>
          </cell>
        </row>
        <row r="35">
          <cell r="G35">
            <v>28.600000381469702</v>
          </cell>
        </row>
        <row r="36">
          <cell r="G36">
            <v>51.439998626708999</v>
          </cell>
        </row>
        <row r="37">
          <cell r="G37">
            <v>90.139999389648395</v>
          </cell>
        </row>
        <row r="38">
          <cell r="G38">
            <v>35.709999084472699</v>
          </cell>
        </row>
        <row r="39">
          <cell r="G39">
            <v>74.260002136230497</v>
          </cell>
        </row>
        <row r="40">
          <cell r="G40">
            <v>70.050003051757798</v>
          </cell>
        </row>
        <row r="41">
          <cell r="G41">
            <v>131.669998168945</v>
          </cell>
        </row>
      </sheetData>
      <sheetData sheetId="1">
        <row r="2">
          <cell r="A2" t="str">
            <v>UP78GT3262</v>
          </cell>
          <cell r="D2">
            <v>90.830001831054702</v>
          </cell>
          <cell r="E2">
            <v>9.2455555555555566</v>
          </cell>
        </row>
        <row r="3">
          <cell r="A3" t="str">
            <v>UP78GT3263</v>
          </cell>
          <cell r="D3">
            <v>60.529998779296903</v>
          </cell>
          <cell r="E3">
            <v>5.6508333333333329</v>
          </cell>
        </row>
        <row r="4">
          <cell r="A4" t="str">
            <v>UP78GT3264</v>
          </cell>
          <cell r="D4">
            <v>20.870000839233398</v>
          </cell>
          <cell r="E4">
            <v>1.028888888888889</v>
          </cell>
        </row>
        <row r="5">
          <cell r="A5" t="str">
            <v>UP78GT3265</v>
          </cell>
          <cell r="D5">
            <v>44.099998474121101</v>
          </cell>
          <cell r="E5">
            <v>9.6030555555555566</v>
          </cell>
        </row>
        <row r="6">
          <cell r="A6" t="str">
            <v>UP78GT3266</v>
          </cell>
          <cell r="D6">
            <v>40.069999694824197</v>
          </cell>
          <cell r="E6">
            <v>6.681111111111111</v>
          </cell>
        </row>
        <row r="7">
          <cell r="A7" t="str">
            <v>UP78GT3267</v>
          </cell>
          <cell r="D7">
            <v>27.690000534057599</v>
          </cell>
          <cell r="E7">
            <v>4.1927777777777777</v>
          </cell>
        </row>
        <row r="8">
          <cell r="A8" t="str">
            <v>UP78GT3277</v>
          </cell>
          <cell r="D8">
            <v>49.840000152587898</v>
          </cell>
          <cell r="E8">
            <v>11.195833333333333</v>
          </cell>
        </row>
        <row r="9">
          <cell r="A9" t="str">
            <v>UP78GT3615</v>
          </cell>
          <cell r="D9">
            <v>51.439998626708999</v>
          </cell>
          <cell r="E9">
            <v>7.6791666666666671</v>
          </cell>
        </row>
        <row r="10">
          <cell r="A10" t="str">
            <v>UP78GT4955</v>
          </cell>
          <cell r="D10">
            <v>177.42999267578099</v>
          </cell>
          <cell r="E10">
            <v>5.9061111111111106</v>
          </cell>
        </row>
        <row r="11">
          <cell r="A11" t="str">
            <v>UP78GT4959</v>
          </cell>
          <cell r="D11">
            <v>102.790000915527</v>
          </cell>
          <cell r="E11">
            <v>18.369722222222222</v>
          </cell>
        </row>
        <row r="12">
          <cell r="A12" t="str">
            <v>UP78GT4960</v>
          </cell>
          <cell r="D12">
            <v>51.900001525878899</v>
          </cell>
          <cell r="E12">
            <v>10.979444444444443</v>
          </cell>
        </row>
        <row r="13">
          <cell r="A13" t="str">
            <v>UP78GT4961</v>
          </cell>
          <cell r="D13">
            <v>64.760002136230497</v>
          </cell>
          <cell r="E13">
            <v>11.961666666666666</v>
          </cell>
        </row>
        <row r="14">
          <cell r="A14" t="str">
            <v>UP78GT4963</v>
          </cell>
          <cell r="D14">
            <v>39.110000610351598</v>
          </cell>
          <cell r="E14">
            <v>11.208611111111111</v>
          </cell>
        </row>
        <row r="15">
          <cell r="A15" t="str">
            <v>UP78GT4964</v>
          </cell>
          <cell r="D15">
            <v>28.0100002288818</v>
          </cell>
          <cell r="E15">
            <v>3.2488888888888887</v>
          </cell>
        </row>
        <row r="16">
          <cell r="A16" t="str">
            <v>UP78GT4969</v>
          </cell>
          <cell r="D16">
            <v>22.9799995422363</v>
          </cell>
          <cell r="E16">
            <v>8.8205555555555542</v>
          </cell>
        </row>
        <row r="17">
          <cell r="A17" t="str">
            <v>UP78GT4981</v>
          </cell>
          <cell r="D17">
            <v>61.439998626708999</v>
          </cell>
          <cell r="E17">
            <v>7.3822222222222216</v>
          </cell>
        </row>
        <row r="18">
          <cell r="A18" t="str">
            <v>UP78GT5309</v>
          </cell>
          <cell r="D18">
            <v>67.360000610351605</v>
          </cell>
          <cell r="E18">
            <v>13.003333333333334</v>
          </cell>
        </row>
        <row r="19">
          <cell r="A19" t="str">
            <v>UP78JN2759</v>
          </cell>
          <cell r="D19">
            <v>74.900001525878906</v>
          </cell>
          <cell r="E19">
            <v>12.613333333333333</v>
          </cell>
        </row>
        <row r="20">
          <cell r="A20" t="str">
            <v>UP78JN2761</v>
          </cell>
          <cell r="D20">
            <v>54.880001068115199</v>
          </cell>
          <cell r="E20">
            <v>11.366944444444444</v>
          </cell>
        </row>
        <row r="21">
          <cell r="A21" t="str">
            <v>UP78JN2762</v>
          </cell>
          <cell r="D21">
            <v>34.080001831054702</v>
          </cell>
          <cell r="E21">
            <v>7.1763888888888889</v>
          </cell>
        </row>
        <row r="22">
          <cell r="A22" t="str">
            <v>UP78JN2763</v>
          </cell>
          <cell r="D22">
            <v>135.91000366210901</v>
          </cell>
          <cell r="E22">
            <v>16.816111111111113</v>
          </cell>
        </row>
        <row r="23">
          <cell r="A23" t="str">
            <v>UP78JN3415</v>
          </cell>
          <cell r="D23">
            <v>98.540000915527301</v>
          </cell>
          <cell r="E23">
            <v>14.618611111111111</v>
          </cell>
        </row>
        <row r="24">
          <cell r="A24" t="str">
            <v>UP78JN4271</v>
          </cell>
          <cell r="D24">
            <v>75.400001525878906</v>
          </cell>
          <cell r="E24">
            <v>9.0525000000000002</v>
          </cell>
        </row>
        <row r="25">
          <cell r="A25" t="str">
            <v>UP78JN8997</v>
          </cell>
          <cell r="D25">
            <v>74.260002136230497</v>
          </cell>
          <cell r="E25">
            <v>14.10361111111111</v>
          </cell>
        </row>
        <row r="26">
          <cell r="A26" t="str">
            <v>UP78KT 8351</v>
          </cell>
          <cell r="D26">
            <v>36.939998626708999</v>
          </cell>
          <cell r="E26">
            <v>9.6575000000000006</v>
          </cell>
        </row>
        <row r="27">
          <cell r="A27" t="str">
            <v>UP78KT4270</v>
          </cell>
          <cell r="D27">
            <v>96.059997558593807</v>
          </cell>
          <cell r="E27">
            <v>17.128888888888888</v>
          </cell>
        </row>
        <row r="28">
          <cell r="A28" t="str">
            <v>UP78KT4272</v>
          </cell>
          <cell r="D28">
            <v>66.970001220703097</v>
          </cell>
          <cell r="E28">
            <v>8.1461111111111109</v>
          </cell>
        </row>
        <row r="29">
          <cell r="A29" t="str">
            <v>UP78KT6804</v>
          </cell>
          <cell r="D29">
            <v>170.82000732421901</v>
          </cell>
          <cell r="E29">
            <v>12.892222222222221</v>
          </cell>
        </row>
        <row r="30">
          <cell r="A30" t="str">
            <v>UP78KT6808</v>
          </cell>
          <cell r="D30">
            <v>60.549999237060597</v>
          </cell>
          <cell r="E30">
            <v>5.5308333333333337</v>
          </cell>
        </row>
        <row r="31">
          <cell r="A31" t="str">
            <v>UP78KT6809</v>
          </cell>
          <cell r="D31">
            <v>70.050003051757798</v>
          </cell>
          <cell r="E31">
            <v>4.9430555555555555</v>
          </cell>
        </row>
        <row r="32">
          <cell r="A32" t="str">
            <v>UP78KT8347</v>
          </cell>
          <cell r="D32">
            <v>48.880001068115199</v>
          </cell>
          <cell r="E32">
            <v>11.054444444444446</v>
          </cell>
        </row>
        <row r="33">
          <cell r="A33" t="str">
            <v>UP78KT8348</v>
          </cell>
          <cell r="D33">
            <v>60.380001068115199</v>
          </cell>
          <cell r="E33">
            <v>14.743055555555557</v>
          </cell>
        </row>
        <row r="34">
          <cell r="A34" t="str">
            <v>UP78KT8349</v>
          </cell>
          <cell r="D34">
            <v>46.509998321533203</v>
          </cell>
          <cell r="E34">
            <v>6.195555555555555</v>
          </cell>
        </row>
        <row r="35">
          <cell r="A35" t="str">
            <v>UP78KT8350</v>
          </cell>
          <cell r="D35">
            <v>41.7299995422363</v>
          </cell>
          <cell r="E35">
            <v>9.4130555555555553</v>
          </cell>
        </row>
        <row r="36">
          <cell r="A36" t="str">
            <v>UP78KT8352</v>
          </cell>
          <cell r="D36">
            <v>28.600000381469702</v>
          </cell>
          <cell r="E36">
            <v>7.9688888888888885</v>
          </cell>
        </row>
        <row r="37">
          <cell r="A37" t="str">
            <v>UP78KT8353</v>
          </cell>
          <cell r="D37">
            <v>86.110000610351605</v>
          </cell>
          <cell r="E37">
            <v>11.985833333333334</v>
          </cell>
        </row>
        <row r="38">
          <cell r="A38" t="str">
            <v>UP78KT8354</v>
          </cell>
          <cell r="D38">
            <v>41.169998168945298</v>
          </cell>
          <cell r="E38">
            <v>5.0016666666666669</v>
          </cell>
        </row>
        <row r="39">
          <cell r="A39" t="str">
            <v>UP78KT8355</v>
          </cell>
          <cell r="D39">
            <v>90.139999389648395</v>
          </cell>
          <cell r="E39">
            <v>12.73111111111111</v>
          </cell>
        </row>
        <row r="40">
          <cell r="A40" t="str">
            <v>UP78KT8356</v>
          </cell>
          <cell r="D40">
            <v>35.709999084472699</v>
          </cell>
          <cell r="E40">
            <v>5.6480555555555556</v>
          </cell>
        </row>
        <row r="41">
          <cell r="A41" t="str">
            <v>UP78LN5012</v>
          </cell>
          <cell r="D41">
            <v>131.669998168945</v>
          </cell>
          <cell r="E41">
            <v>13.10638888888889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awDataTable" displayName="RawDataTable" ref="A1:R42" totalsRowCount="1" headerRowDxfId="35" dataDxfId="34">
  <autoFilter ref="A1:R41" xr:uid="{00000000-0009-0000-0100-000002000000}"/>
  <tableColumns count="18">
    <tableColumn id="1" xr3:uid="{00000000-0010-0000-0000-000001000000}" name="Vehicle No " totalsRowLabel="Total" dataDxfId="33"/>
    <tableColumn id="2" xr3:uid="{00000000-0010-0000-0000-000002000000}" name="Vehicle.No " dataDxfId="32"/>
    <tableColumn id="3" xr3:uid="{00000000-0010-0000-0000-000003000000}" name="Start Time" dataDxfId="31"/>
    <tableColumn id="4" xr3:uid="{00000000-0010-0000-0000-000004000000}" name="Start Location" dataDxfId="30"/>
    <tableColumn id="5" xr3:uid="{00000000-0010-0000-0000-000005000000}" name="End Time" dataDxfId="29"/>
    <tableColumn id="6" xr3:uid="{00000000-0010-0000-0000-000006000000}" name="End Location" dataDxfId="28"/>
    <tableColumn id="7" xr3:uid="{00000000-0010-0000-0000-000007000000}" name="Total KM" dataDxfId="27"/>
    <tableColumn id="8" xr3:uid="{00000000-0010-0000-0000-000008000000}" name="Running Hrs" dataDxfId="26"/>
    <tableColumn id="9" xr3:uid="{00000000-0010-0000-0000-000009000000}" name="Idle Hrs" dataDxfId="25"/>
    <tableColumn id="10" xr3:uid="{00000000-0010-0000-0000-00000A000000}" name="Date" dataDxfId="24"/>
    <tableColumn id="11" xr3:uid="{00000000-0010-0000-0000-00000B000000}" name="Start Decimal Hr" dataDxfId="23"/>
    <tableColumn id="12" xr3:uid="{00000000-0010-0000-0000-00000C000000}" name="End Decimal Hr" dataDxfId="22"/>
    <tableColumn id="13" xr3:uid="{00000000-0010-0000-0000-00000D000000}" name="Slot 1 (12AM-10AM)" dataDxfId="21"/>
    <tableColumn id="14" xr3:uid="{00000000-0010-0000-0000-00000E000000}" name="Slot 2 (10AM-4PM)" dataDxfId="20"/>
    <tableColumn id="15" xr3:uid="{00000000-0010-0000-0000-00000F000000}" name="Slot 3 (4PM-8PM)" dataDxfId="19"/>
    <tableColumn id="16" xr3:uid="{00000000-0010-0000-0000-000010000000}" name="Slot 4 (8PM-11:59PM)" dataDxfId="18"/>
    <tableColumn id="17" xr3:uid="{00000000-0010-0000-0000-000011000000}" name="Running Hrs " dataDxfId="17"/>
    <tableColumn id="18" xr3:uid="{00000000-0010-0000-0000-000012000000}" name="Distance Bucket" totalsRowFunction="count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lcTable" displayName="CalcTable" ref="A1:M41" totalsRowShown="0" headerRowDxfId="15" dataDxfId="14">
  <autoFilter ref="A1:M41" xr:uid="{00000000-0009-0000-0100-000001000000}"/>
  <tableColumns count="13">
    <tableColumn id="1" xr3:uid="{00000000-0010-0000-0100-000001000000}" name="Vehicle No" dataDxfId="13"/>
    <tableColumn id="2" xr3:uid="{00000000-0010-0000-0100-000002000000}" name="Trips/Days" dataDxfId="12"/>
    <tableColumn id="3" xr3:uid="{00000000-0010-0000-0100-000003000000}" name="Total KM (All Days)" dataDxfId="11"/>
    <tableColumn id="4" xr3:uid="{00000000-0010-0000-0100-000004000000}" name="Daily Avg KM" dataDxfId="10"/>
    <tableColumn id="5" xr3:uid="{00000000-0010-0000-0100-000005000000}" name="Avg Running Hrs (Decimal)" dataDxfId="9"/>
    <tableColumn id="6" xr3:uid="{00000000-0010-0000-0100-000006000000}" name="Days &gt;1 km" dataDxfId="8"/>
    <tableColumn id="7" xr3:uid="{00000000-0010-0000-0100-000007000000}" name="Days &lt;=1 km" dataDxfId="7"/>
    <tableColumn id="8" xr3:uid="{00000000-0010-0000-0100-000008000000}" name="Slot 1 Active Days" dataDxfId="6"/>
    <tableColumn id="9" xr3:uid="{00000000-0010-0000-0100-000009000000}" name="Slot 2 Active Days" dataDxfId="5"/>
    <tableColumn id="10" xr3:uid="{00000000-0010-0000-0100-00000A000000}" name="Slot 3 Active Days" dataDxfId="4"/>
    <tableColumn id="11" xr3:uid="{00000000-0010-0000-0100-00000B000000}" name="Slot 4 Active Days" dataDxfId="3"/>
    <tableColumn id="12" xr3:uid="{00000000-0010-0000-0100-00000C000000}" name="Most Continuous" dataDxfId="2"/>
    <tableColumn id="13" xr3:uid="{36713B77-A72C-434F-B614-6B7502EFDDED}" name="Longest Distance Travel" dataDxfId="1">
      <calculatedColumnFormula>IF(D2=MAX($D$2:$D$41),"Longest Distance Travel""")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zoomScale="55" zoomScaleNormal="55" workbookViewId="0">
      <pane ySplit="1" topLeftCell="A3" activePane="bottomLeft" state="frozen"/>
      <selection pane="bottomLeft" activeCell="C5" sqref="C5"/>
    </sheetView>
  </sheetViews>
  <sheetFormatPr defaultColWidth="8.6328125" defaultRowHeight="14.5" x14ac:dyDescent="0.35"/>
  <cols>
    <col min="1" max="1" width="18.6328125" customWidth="1"/>
    <col min="2" max="2" width="19" customWidth="1"/>
    <col min="3" max="3" width="21" customWidth="1"/>
    <col min="4" max="4" width="142.7265625" customWidth="1"/>
    <col min="5" max="5" width="21.453125" customWidth="1"/>
    <col min="6" max="6" width="124.36328125" customWidth="1"/>
    <col min="7" max="7" width="15.6328125" customWidth="1"/>
    <col min="8" max="9" width="20.26953125" customWidth="1"/>
    <col min="10" max="10" width="13.36328125" customWidth="1"/>
    <col min="11" max="12" width="14" customWidth="1"/>
    <col min="13" max="15" width="16" customWidth="1"/>
    <col min="16" max="16" width="18" customWidth="1"/>
    <col min="17" max="17" width="16" customWidth="1"/>
    <col min="18" max="18" width="13" customWidth="1"/>
  </cols>
  <sheetData>
    <row r="1" spans="1:18" ht="31.5" customHeight="1" x14ac:dyDescent="0.35">
      <c r="A1" s="6" t="s">
        <v>347</v>
      </c>
      <c r="B1" s="6" t="s">
        <v>348</v>
      </c>
      <c r="C1" s="6" t="s">
        <v>0</v>
      </c>
      <c r="D1" s="23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349</v>
      </c>
      <c r="R1" s="6" t="s">
        <v>14</v>
      </c>
    </row>
    <row r="2" spans="1:18" ht="43.5" customHeight="1" x14ac:dyDescent="0.35">
      <c r="A2" s="19" t="s">
        <v>15</v>
      </c>
      <c r="B2" s="19" t="str">
        <f t="shared" ref="B2:B41" si="0">TRIM(SUBSTITUTE(SUBSTITUTE(A2,"(",""),")",""))</f>
        <v>UP78KT8353</v>
      </c>
      <c r="C2" s="19" t="s">
        <v>16</v>
      </c>
      <c r="D2" s="20" t="s">
        <v>17</v>
      </c>
      <c r="E2" s="19" t="s">
        <v>18</v>
      </c>
      <c r="F2" s="19" t="s">
        <v>17</v>
      </c>
      <c r="G2" s="21">
        <v>86.110000610351605</v>
      </c>
      <c r="H2" s="19" t="s">
        <v>19</v>
      </c>
      <c r="I2" s="19" t="s">
        <v>20</v>
      </c>
      <c r="J2" s="22">
        <f>DATE(VALUE(MID(C2,7,4)),VALUE(MID(C2,4,2)),VALUE(LEFT(C2,2)))</f>
        <v>46192</v>
      </c>
      <c r="K2" s="21">
        <f t="shared" ref="K2:K41" si="1">TIMEVALUE(MID(C2,12,8))*24</f>
        <v>2.7777777777777778E-4</v>
      </c>
      <c r="L2" s="21">
        <f t="shared" ref="L2:L41" si="2">TIMEVALUE(MID(E2,12,8))*24</f>
        <v>23.421111111111109</v>
      </c>
      <c r="M2" s="19" t="str">
        <f t="shared" ref="M2:M41" si="3">IF(AND(K2&lt;10,L2&gt;0),"Yes","No")</f>
        <v>Yes</v>
      </c>
      <c r="N2" s="19" t="str">
        <f t="shared" ref="N2:N41" si="4">IF(AND(K2&lt;16,L2&gt;10),"Yes","No")</f>
        <v>Yes</v>
      </c>
      <c r="O2" s="19" t="str">
        <f t="shared" ref="O2:O41" si="5">IF(AND(K2&lt;20,L2&gt;16),"Yes","No")</f>
        <v>Yes</v>
      </c>
      <c r="P2" s="19" t="str">
        <f t="shared" ref="P2:P41" si="6">IF(AND(K2&lt;24,L2&gt;20),"Yes","No")</f>
        <v>Yes</v>
      </c>
      <c r="Q2" s="21">
        <f>TIMEVALUE(H2)*24</f>
        <v>11.985833333333334</v>
      </c>
      <c r="R2" s="19" t="str">
        <f t="shared" ref="R2:R41" si="7">IF(G2&gt;1,"&gt;1 km","&lt;=1 km")</f>
        <v>&gt;1 km</v>
      </c>
    </row>
    <row r="3" spans="1:18" ht="39" customHeight="1" x14ac:dyDescent="0.35">
      <c r="A3" s="19" t="s">
        <v>21</v>
      </c>
      <c r="B3" s="19" t="str">
        <f t="shared" si="0"/>
        <v>UP78JN3415</v>
      </c>
      <c r="C3" s="19" t="s">
        <v>22</v>
      </c>
      <c r="D3" s="19" t="s">
        <v>23</v>
      </c>
      <c r="E3" s="19" t="s">
        <v>24</v>
      </c>
      <c r="F3" s="19" t="s">
        <v>25</v>
      </c>
      <c r="G3" s="21">
        <v>98.540000915527301</v>
      </c>
      <c r="H3" s="19" t="s">
        <v>26</v>
      </c>
      <c r="I3" s="19" t="s">
        <v>27</v>
      </c>
      <c r="J3" s="22">
        <f t="shared" ref="J3:J41" si="8">DATE(VALUE(MID(C3,7,4)),VALUE(MID(C3,4,2)),VALUE(LEFT(C3,2)))</f>
        <v>46192</v>
      </c>
      <c r="K3" s="21">
        <f t="shared" si="1"/>
        <v>1.5374999999999999</v>
      </c>
      <c r="L3" s="21">
        <f t="shared" si="2"/>
        <v>23.757777777777779</v>
      </c>
      <c r="M3" s="19" t="str">
        <f t="shared" si="3"/>
        <v>Yes</v>
      </c>
      <c r="N3" s="19" t="str">
        <f t="shared" si="4"/>
        <v>Yes</v>
      </c>
      <c r="O3" s="19" t="str">
        <f t="shared" si="5"/>
        <v>Yes</v>
      </c>
      <c r="P3" s="19" t="str">
        <f t="shared" si="6"/>
        <v>Yes</v>
      </c>
      <c r="Q3" s="21">
        <f>TIMEVALUE(H3)*24</f>
        <v>14.618611111111111</v>
      </c>
      <c r="R3" s="19" t="str">
        <f t="shared" si="7"/>
        <v>&gt;1 km</v>
      </c>
    </row>
    <row r="4" spans="1:18" ht="39" customHeight="1" x14ac:dyDescent="0.35">
      <c r="A4" s="19" t="s">
        <v>28</v>
      </c>
      <c r="B4" s="19" t="str">
        <f t="shared" si="0"/>
        <v>UP78GT3263</v>
      </c>
      <c r="C4" s="19" t="s">
        <v>29</v>
      </c>
      <c r="D4" s="19" t="s">
        <v>30</v>
      </c>
      <c r="E4" s="19" t="s">
        <v>31</v>
      </c>
      <c r="F4" s="19" t="s">
        <v>30</v>
      </c>
      <c r="G4" s="21">
        <v>60.529998779296903</v>
      </c>
      <c r="H4" s="19" t="s">
        <v>32</v>
      </c>
      <c r="I4" s="19" t="s">
        <v>33</v>
      </c>
      <c r="J4" s="22">
        <f t="shared" si="8"/>
        <v>46192</v>
      </c>
      <c r="K4" s="21">
        <f t="shared" si="1"/>
        <v>9.8938888888888883</v>
      </c>
      <c r="L4" s="21">
        <f t="shared" si="2"/>
        <v>20.133611111111112</v>
      </c>
      <c r="M4" s="19" t="str">
        <f t="shared" si="3"/>
        <v>Yes</v>
      </c>
      <c r="N4" s="19" t="str">
        <f t="shared" si="4"/>
        <v>Yes</v>
      </c>
      <c r="O4" s="19" t="str">
        <f t="shared" si="5"/>
        <v>Yes</v>
      </c>
      <c r="P4" s="19" t="str">
        <f t="shared" si="6"/>
        <v>Yes</v>
      </c>
      <c r="Q4" s="21">
        <f t="shared" ref="Q4:Q41" si="9">TIMEVALUE(H4)*24</f>
        <v>5.6508333333333329</v>
      </c>
      <c r="R4" s="19" t="str">
        <f t="shared" si="7"/>
        <v>&gt;1 km</v>
      </c>
    </row>
    <row r="5" spans="1:18" ht="39" customHeight="1" x14ac:dyDescent="0.35">
      <c r="A5" s="19" t="s">
        <v>34</v>
      </c>
      <c r="B5" s="19" t="str">
        <f t="shared" si="0"/>
        <v>UP78GT3265</v>
      </c>
      <c r="C5" s="19" t="s">
        <v>35</v>
      </c>
      <c r="D5" s="19" t="s">
        <v>36</v>
      </c>
      <c r="E5" s="19" t="s">
        <v>37</v>
      </c>
      <c r="F5" s="19" t="s">
        <v>36</v>
      </c>
      <c r="G5" s="21">
        <v>44.099998474121101</v>
      </c>
      <c r="H5" s="19" t="s">
        <v>38</v>
      </c>
      <c r="I5" s="19" t="s">
        <v>39</v>
      </c>
      <c r="J5" s="22">
        <f t="shared" si="8"/>
        <v>46192</v>
      </c>
      <c r="K5" s="21">
        <f t="shared" si="1"/>
        <v>0.52166666666666672</v>
      </c>
      <c r="L5" s="21">
        <f t="shared" si="2"/>
        <v>23.821111111111112</v>
      </c>
      <c r="M5" s="19" t="str">
        <f t="shared" si="3"/>
        <v>Yes</v>
      </c>
      <c r="N5" s="19" t="str">
        <f t="shared" si="4"/>
        <v>Yes</v>
      </c>
      <c r="O5" s="19" t="str">
        <f t="shared" si="5"/>
        <v>Yes</v>
      </c>
      <c r="P5" s="19" t="str">
        <f t="shared" si="6"/>
        <v>Yes</v>
      </c>
      <c r="Q5" s="21">
        <f t="shared" si="9"/>
        <v>9.6030555555555566</v>
      </c>
      <c r="R5" s="19" t="str">
        <f t="shared" si="7"/>
        <v>&gt;1 km</v>
      </c>
    </row>
    <row r="6" spans="1:18" ht="39" customHeight="1" x14ac:dyDescent="0.35">
      <c r="A6" s="19" t="s">
        <v>40</v>
      </c>
      <c r="B6" s="19" t="str">
        <f t="shared" si="0"/>
        <v>UP78GT3277</v>
      </c>
      <c r="C6" s="19" t="s">
        <v>41</v>
      </c>
      <c r="D6" s="19" t="s">
        <v>42</v>
      </c>
      <c r="E6" s="19" t="s">
        <v>37</v>
      </c>
      <c r="F6" s="19" t="s">
        <v>42</v>
      </c>
      <c r="G6" s="21">
        <v>49.840000152587898</v>
      </c>
      <c r="H6" s="19" t="s">
        <v>43</v>
      </c>
      <c r="I6" s="19" t="s">
        <v>44</v>
      </c>
      <c r="J6" s="22">
        <f t="shared" si="8"/>
        <v>46192</v>
      </c>
      <c r="K6" s="21">
        <f t="shared" si="1"/>
        <v>1.4408333333333334</v>
      </c>
      <c r="L6" s="21">
        <f t="shared" si="2"/>
        <v>23.821111111111112</v>
      </c>
      <c r="M6" s="19" t="str">
        <f t="shared" si="3"/>
        <v>Yes</v>
      </c>
      <c r="N6" s="19" t="str">
        <f t="shared" si="4"/>
        <v>Yes</v>
      </c>
      <c r="O6" s="19" t="str">
        <f t="shared" si="5"/>
        <v>Yes</v>
      </c>
      <c r="P6" s="19" t="str">
        <f t="shared" si="6"/>
        <v>Yes</v>
      </c>
      <c r="Q6" s="21">
        <f t="shared" si="9"/>
        <v>11.195833333333333</v>
      </c>
      <c r="R6" s="19" t="str">
        <f t="shared" si="7"/>
        <v>&gt;1 km</v>
      </c>
    </row>
    <row r="7" spans="1:18" ht="39" customHeight="1" x14ac:dyDescent="0.35">
      <c r="A7" s="19" t="s">
        <v>45</v>
      </c>
      <c r="B7" s="19" t="str">
        <f t="shared" si="0"/>
        <v>UP78GT3262</v>
      </c>
      <c r="C7" s="19" t="s">
        <v>46</v>
      </c>
      <c r="D7" s="19" t="s">
        <v>47</v>
      </c>
      <c r="E7" s="19" t="s">
        <v>48</v>
      </c>
      <c r="F7" s="19" t="s">
        <v>49</v>
      </c>
      <c r="G7" s="21">
        <v>90.830001831054702</v>
      </c>
      <c r="H7" s="19" t="s">
        <v>50</v>
      </c>
      <c r="I7" s="19" t="s">
        <v>51</v>
      </c>
      <c r="J7" s="22">
        <f t="shared" si="8"/>
        <v>46192</v>
      </c>
      <c r="K7" s="21">
        <f t="shared" si="1"/>
        <v>0.35222222222222221</v>
      </c>
      <c r="L7" s="21">
        <f t="shared" si="2"/>
        <v>23.756388888888889</v>
      </c>
      <c r="M7" s="19" t="str">
        <f t="shared" si="3"/>
        <v>Yes</v>
      </c>
      <c r="N7" s="19" t="str">
        <f t="shared" si="4"/>
        <v>Yes</v>
      </c>
      <c r="O7" s="19" t="str">
        <f t="shared" si="5"/>
        <v>Yes</v>
      </c>
      <c r="P7" s="19" t="str">
        <f t="shared" si="6"/>
        <v>Yes</v>
      </c>
      <c r="Q7" s="21">
        <f t="shared" si="9"/>
        <v>9.2455555555555566</v>
      </c>
      <c r="R7" s="19" t="str">
        <f t="shared" si="7"/>
        <v>&gt;1 km</v>
      </c>
    </row>
    <row r="8" spans="1:18" ht="39" customHeight="1" x14ac:dyDescent="0.35">
      <c r="A8" s="19" t="s">
        <v>52</v>
      </c>
      <c r="B8" s="19" t="str">
        <f t="shared" si="0"/>
        <v>UP78GT3264</v>
      </c>
      <c r="C8" s="19" t="s">
        <v>53</v>
      </c>
      <c r="D8" s="19" t="s">
        <v>54</v>
      </c>
      <c r="E8" s="19" t="s">
        <v>55</v>
      </c>
      <c r="F8" s="19" t="s">
        <v>54</v>
      </c>
      <c r="G8" s="21">
        <v>20.870000839233398</v>
      </c>
      <c r="H8" s="19" t="s">
        <v>56</v>
      </c>
      <c r="I8" s="19" t="s">
        <v>57</v>
      </c>
      <c r="J8" s="22">
        <f t="shared" si="8"/>
        <v>46192</v>
      </c>
      <c r="K8" s="21">
        <f t="shared" si="1"/>
        <v>10.485555555555555</v>
      </c>
      <c r="L8" s="21">
        <f t="shared" si="2"/>
        <v>17.286944444444444</v>
      </c>
      <c r="M8" s="19" t="str">
        <f t="shared" si="3"/>
        <v>No</v>
      </c>
      <c r="N8" s="19" t="str">
        <f t="shared" si="4"/>
        <v>Yes</v>
      </c>
      <c r="O8" s="19" t="str">
        <f t="shared" si="5"/>
        <v>Yes</v>
      </c>
      <c r="P8" s="19" t="str">
        <f t="shared" si="6"/>
        <v>No</v>
      </c>
      <c r="Q8" s="21">
        <f t="shared" si="9"/>
        <v>1.028888888888889</v>
      </c>
      <c r="R8" s="19" t="str">
        <f t="shared" si="7"/>
        <v>&gt;1 km</v>
      </c>
    </row>
    <row r="9" spans="1:18" ht="39" customHeight="1" x14ac:dyDescent="0.35">
      <c r="A9" s="19" t="s">
        <v>58</v>
      </c>
      <c r="B9" s="19" t="str">
        <f t="shared" si="0"/>
        <v>UP78GT3266</v>
      </c>
      <c r="C9" s="19" t="s">
        <v>59</v>
      </c>
      <c r="D9" s="19" t="s">
        <v>60</v>
      </c>
      <c r="E9" s="19" t="s">
        <v>61</v>
      </c>
      <c r="F9" s="19" t="s">
        <v>62</v>
      </c>
      <c r="G9" s="21">
        <v>40.069999694824197</v>
      </c>
      <c r="H9" s="19" t="s">
        <v>63</v>
      </c>
      <c r="I9" s="19" t="s">
        <v>64</v>
      </c>
      <c r="J9" s="22">
        <f t="shared" si="8"/>
        <v>46192</v>
      </c>
      <c r="K9" s="21">
        <f t="shared" si="1"/>
        <v>3.8888888888888888E-3</v>
      </c>
      <c r="L9" s="21">
        <f t="shared" si="2"/>
        <v>23.880555555555556</v>
      </c>
      <c r="M9" s="19" t="str">
        <f t="shared" si="3"/>
        <v>Yes</v>
      </c>
      <c r="N9" s="19" t="str">
        <f t="shared" si="4"/>
        <v>Yes</v>
      </c>
      <c r="O9" s="19" t="str">
        <f t="shared" si="5"/>
        <v>Yes</v>
      </c>
      <c r="P9" s="19" t="str">
        <f t="shared" si="6"/>
        <v>Yes</v>
      </c>
      <c r="Q9" s="21">
        <f t="shared" si="9"/>
        <v>6.681111111111111</v>
      </c>
      <c r="R9" s="19" t="str">
        <f t="shared" si="7"/>
        <v>&gt;1 km</v>
      </c>
    </row>
    <row r="10" spans="1:18" ht="39" customHeight="1" x14ac:dyDescent="0.35">
      <c r="A10" s="19" t="s">
        <v>65</v>
      </c>
      <c r="B10" s="19" t="str">
        <f t="shared" si="0"/>
        <v>UP78KT8354</v>
      </c>
      <c r="C10" s="19" t="s">
        <v>66</v>
      </c>
      <c r="D10" s="19" t="s">
        <v>67</v>
      </c>
      <c r="E10" s="19" t="s">
        <v>68</v>
      </c>
      <c r="F10" s="19" t="s">
        <v>69</v>
      </c>
      <c r="G10" s="21">
        <v>41.169998168945298</v>
      </c>
      <c r="H10" s="19" t="s">
        <v>70</v>
      </c>
      <c r="I10" s="19" t="s">
        <v>71</v>
      </c>
      <c r="J10" s="22">
        <f t="shared" si="8"/>
        <v>46192</v>
      </c>
      <c r="K10" s="21">
        <f t="shared" si="1"/>
        <v>1.1975</v>
      </c>
      <c r="L10" s="21">
        <f t="shared" si="2"/>
        <v>23.937777777777779</v>
      </c>
      <c r="M10" s="19" t="str">
        <f t="shared" si="3"/>
        <v>Yes</v>
      </c>
      <c r="N10" s="19" t="str">
        <f t="shared" si="4"/>
        <v>Yes</v>
      </c>
      <c r="O10" s="19" t="str">
        <f t="shared" si="5"/>
        <v>Yes</v>
      </c>
      <c r="P10" s="19" t="str">
        <f t="shared" si="6"/>
        <v>Yes</v>
      </c>
      <c r="Q10" s="21">
        <f t="shared" si="9"/>
        <v>5.0016666666666669</v>
      </c>
      <c r="R10" s="19" t="str">
        <f t="shared" si="7"/>
        <v>&gt;1 km</v>
      </c>
    </row>
    <row r="11" spans="1:18" ht="39" customHeight="1" x14ac:dyDescent="0.35">
      <c r="A11" s="19" t="s">
        <v>72</v>
      </c>
      <c r="B11" s="19" t="str">
        <f t="shared" si="0"/>
        <v>UP78KT8348</v>
      </c>
      <c r="C11" s="19" t="s">
        <v>73</v>
      </c>
      <c r="D11" s="19" t="s">
        <v>74</v>
      </c>
      <c r="E11" s="19" t="s">
        <v>75</v>
      </c>
      <c r="F11" s="19" t="s">
        <v>76</v>
      </c>
      <c r="G11" s="21">
        <v>60.380001068115199</v>
      </c>
      <c r="H11" s="19" t="s">
        <v>77</v>
      </c>
      <c r="I11" s="19" t="s">
        <v>78</v>
      </c>
      <c r="J11" s="22">
        <f t="shared" si="8"/>
        <v>46192</v>
      </c>
      <c r="K11" s="21">
        <f t="shared" si="1"/>
        <v>0.18305555555555555</v>
      </c>
      <c r="L11" s="21">
        <f t="shared" si="2"/>
        <v>23.738055555555555</v>
      </c>
      <c r="M11" s="19" t="str">
        <f t="shared" si="3"/>
        <v>Yes</v>
      </c>
      <c r="N11" s="19" t="str">
        <f t="shared" si="4"/>
        <v>Yes</v>
      </c>
      <c r="O11" s="19" t="str">
        <f t="shared" si="5"/>
        <v>Yes</v>
      </c>
      <c r="P11" s="19" t="str">
        <f t="shared" si="6"/>
        <v>Yes</v>
      </c>
      <c r="Q11" s="21">
        <f t="shared" si="9"/>
        <v>14.743055555555557</v>
      </c>
      <c r="R11" s="19" t="str">
        <f t="shared" si="7"/>
        <v>&gt;1 km</v>
      </c>
    </row>
    <row r="12" spans="1:18" ht="39" customHeight="1" x14ac:dyDescent="0.35">
      <c r="A12" s="19" t="s">
        <v>79</v>
      </c>
      <c r="B12" s="19" t="str">
        <f t="shared" si="0"/>
        <v>UP78GT4969</v>
      </c>
      <c r="C12" s="19" t="s">
        <v>80</v>
      </c>
      <c r="D12" s="19" t="s">
        <v>67</v>
      </c>
      <c r="E12" s="19" t="s">
        <v>81</v>
      </c>
      <c r="F12" s="19" t="s">
        <v>82</v>
      </c>
      <c r="G12" s="21">
        <v>22.9799995422363</v>
      </c>
      <c r="H12" s="19" t="s">
        <v>83</v>
      </c>
      <c r="I12" s="19" t="s">
        <v>84</v>
      </c>
      <c r="J12" s="22">
        <f t="shared" si="8"/>
        <v>46192</v>
      </c>
      <c r="K12" s="21">
        <f t="shared" si="1"/>
        <v>0.5</v>
      </c>
      <c r="L12" s="21">
        <f t="shared" si="2"/>
        <v>20.945277777777779</v>
      </c>
      <c r="M12" s="19" t="str">
        <f t="shared" si="3"/>
        <v>Yes</v>
      </c>
      <c r="N12" s="19" t="str">
        <f t="shared" si="4"/>
        <v>Yes</v>
      </c>
      <c r="O12" s="19" t="str">
        <f t="shared" si="5"/>
        <v>Yes</v>
      </c>
      <c r="P12" s="19" t="str">
        <f t="shared" si="6"/>
        <v>Yes</v>
      </c>
      <c r="Q12" s="21">
        <f t="shared" si="9"/>
        <v>8.8205555555555542</v>
      </c>
      <c r="R12" s="19" t="str">
        <f t="shared" si="7"/>
        <v>&gt;1 km</v>
      </c>
    </row>
    <row r="13" spans="1:18" ht="39" customHeight="1" x14ac:dyDescent="0.35">
      <c r="A13" s="19" t="s">
        <v>85</v>
      </c>
      <c r="B13" s="19" t="str">
        <f t="shared" si="0"/>
        <v>UP78KT8349</v>
      </c>
      <c r="C13" s="19" t="s">
        <v>86</v>
      </c>
      <c r="D13" s="19" t="s">
        <v>87</v>
      </c>
      <c r="E13" s="19" t="s">
        <v>88</v>
      </c>
      <c r="F13" s="19" t="s">
        <v>87</v>
      </c>
      <c r="G13" s="21">
        <v>46.509998321533203</v>
      </c>
      <c r="H13" s="19" t="s">
        <v>89</v>
      </c>
      <c r="I13" s="19" t="s">
        <v>90</v>
      </c>
      <c r="J13" s="22">
        <f t="shared" si="8"/>
        <v>46192</v>
      </c>
      <c r="K13" s="21">
        <f t="shared" si="1"/>
        <v>0.31361111111111112</v>
      </c>
      <c r="L13" s="21">
        <f t="shared" si="2"/>
        <v>20.078055555555558</v>
      </c>
      <c r="M13" s="19" t="str">
        <f t="shared" si="3"/>
        <v>Yes</v>
      </c>
      <c r="N13" s="19" t="str">
        <f t="shared" si="4"/>
        <v>Yes</v>
      </c>
      <c r="O13" s="19" t="str">
        <f t="shared" si="5"/>
        <v>Yes</v>
      </c>
      <c r="P13" s="19" t="str">
        <f t="shared" si="6"/>
        <v>Yes</v>
      </c>
      <c r="Q13" s="21">
        <f t="shared" si="9"/>
        <v>6.195555555555555</v>
      </c>
      <c r="R13" s="19" t="str">
        <f t="shared" si="7"/>
        <v>&gt;1 km</v>
      </c>
    </row>
    <row r="14" spans="1:18" ht="39" customHeight="1" x14ac:dyDescent="0.35">
      <c r="A14" s="19" t="s">
        <v>91</v>
      </c>
      <c r="B14" s="19" t="str">
        <f t="shared" si="0"/>
        <v>UP78KT6808</v>
      </c>
      <c r="C14" s="19" t="s">
        <v>92</v>
      </c>
      <c r="D14" s="19" t="s">
        <v>62</v>
      </c>
      <c r="E14" s="19" t="s">
        <v>93</v>
      </c>
      <c r="F14" s="19" t="s">
        <v>62</v>
      </c>
      <c r="G14" s="21">
        <v>60.549999237060597</v>
      </c>
      <c r="H14" s="19" t="s">
        <v>94</v>
      </c>
      <c r="I14" s="19" t="s">
        <v>95</v>
      </c>
      <c r="J14" s="22">
        <f t="shared" si="8"/>
        <v>46192</v>
      </c>
      <c r="K14" s="21">
        <f t="shared" si="1"/>
        <v>2.8511111111111114</v>
      </c>
      <c r="L14" s="21">
        <f t="shared" si="2"/>
        <v>23.019722222222221</v>
      </c>
      <c r="M14" s="19" t="str">
        <f t="shared" si="3"/>
        <v>Yes</v>
      </c>
      <c r="N14" s="19" t="str">
        <f t="shared" si="4"/>
        <v>Yes</v>
      </c>
      <c r="O14" s="19" t="str">
        <f t="shared" si="5"/>
        <v>Yes</v>
      </c>
      <c r="P14" s="19" t="str">
        <f t="shared" si="6"/>
        <v>Yes</v>
      </c>
      <c r="Q14" s="21">
        <f t="shared" si="9"/>
        <v>5.5308333333333337</v>
      </c>
      <c r="R14" s="19" t="str">
        <f t="shared" si="7"/>
        <v>&gt;1 km</v>
      </c>
    </row>
    <row r="15" spans="1:18" ht="39" customHeight="1" x14ac:dyDescent="0.35">
      <c r="A15" s="19" t="s">
        <v>96</v>
      </c>
      <c r="B15" s="19" t="str">
        <f t="shared" si="0"/>
        <v>UP78GT4963</v>
      </c>
      <c r="C15" s="19" t="s">
        <v>97</v>
      </c>
      <c r="D15" s="19" t="s">
        <v>98</v>
      </c>
      <c r="E15" s="19" t="s">
        <v>99</v>
      </c>
      <c r="F15" s="19" t="s">
        <v>100</v>
      </c>
      <c r="G15" s="21">
        <v>39.110000610351598</v>
      </c>
      <c r="H15" s="19" t="s">
        <v>101</v>
      </c>
      <c r="I15" s="19" t="s">
        <v>102</v>
      </c>
      <c r="J15" s="22">
        <f t="shared" si="8"/>
        <v>46192</v>
      </c>
      <c r="K15" s="21">
        <f t="shared" si="1"/>
        <v>0.11944444444444445</v>
      </c>
      <c r="L15" s="21">
        <f t="shared" si="2"/>
        <v>23.919166666666669</v>
      </c>
      <c r="M15" s="19" t="str">
        <f t="shared" si="3"/>
        <v>Yes</v>
      </c>
      <c r="N15" s="19" t="str">
        <f t="shared" si="4"/>
        <v>Yes</v>
      </c>
      <c r="O15" s="19" t="str">
        <f t="shared" si="5"/>
        <v>Yes</v>
      </c>
      <c r="P15" s="19" t="str">
        <f t="shared" si="6"/>
        <v>Yes</v>
      </c>
      <c r="Q15" s="21">
        <f t="shared" si="9"/>
        <v>11.208611111111111</v>
      </c>
      <c r="R15" s="19" t="str">
        <f t="shared" si="7"/>
        <v>&gt;1 km</v>
      </c>
    </row>
    <row r="16" spans="1:18" ht="39" customHeight="1" x14ac:dyDescent="0.35">
      <c r="A16" s="19" t="s">
        <v>103</v>
      </c>
      <c r="B16" s="19" t="str">
        <f t="shared" si="0"/>
        <v>UP78KT6804</v>
      </c>
      <c r="C16" s="19" t="s">
        <v>104</v>
      </c>
      <c r="D16" s="19" t="s">
        <v>105</v>
      </c>
      <c r="E16" s="19" t="s">
        <v>106</v>
      </c>
      <c r="F16" s="19" t="s">
        <v>107</v>
      </c>
      <c r="G16" s="21">
        <v>170.82000732421901</v>
      </c>
      <c r="H16" s="19" t="s">
        <v>108</v>
      </c>
      <c r="I16" s="19" t="s">
        <v>109</v>
      </c>
      <c r="J16" s="22">
        <f t="shared" si="8"/>
        <v>46192</v>
      </c>
      <c r="K16" s="21">
        <f t="shared" si="1"/>
        <v>0.14055555555555554</v>
      </c>
      <c r="L16" s="21">
        <f t="shared" si="2"/>
        <v>23.206944444444446</v>
      </c>
      <c r="M16" s="19" t="str">
        <f t="shared" si="3"/>
        <v>Yes</v>
      </c>
      <c r="N16" s="19" t="str">
        <f t="shared" si="4"/>
        <v>Yes</v>
      </c>
      <c r="O16" s="19" t="str">
        <f t="shared" si="5"/>
        <v>Yes</v>
      </c>
      <c r="P16" s="19" t="str">
        <f t="shared" si="6"/>
        <v>Yes</v>
      </c>
      <c r="Q16" s="21">
        <f t="shared" si="9"/>
        <v>12.892222222222221</v>
      </c>
      <c r="R16" s="19" t="str">
        <f t="shared" si="7"/>
        <v>&gt;1 km</v>
      </c>
    </row>
    <row r="17" spans="1:18" ht="39" customHeight="1" x14ac:dyDescent="0.35">
      <c r="A17" s="19" t="s">
        <v>110</v>
      </c>
      <c r="B17" s="19" t="str">
        <f t="shared" si="0"/>
        <v>UP78GT4955</v>
      </c>
      <c r="C17" s="19" t="s">
        <v>111</v>
      </c>
      <c r="D17" s="19" t="s">
        <v>112</v>
      </c>
      <c r="E17" s="19" t="s">
        <v>113</v>
      </c>
      <c r="F17" s="19" t="s">
        <v>114</v>
      </c>
      <c r="G17" s="21">
        <v>177.42999267578099</v>
      </c>
      <c r="H17" s="19" t="s">
        <v>115</v>
      </c>
      <c r="I17" s="19" t="s">
        <v>116</v>
      </c>
      <c r="J17" s="22">
        <f t="shared" si="8"/>
        <v>46192</v>
      </c>
      <c r="K17" s="21">
        <f t="shared" si="1"/>
        <v>3.8802777777777777</v>
      </c>
      <c r="L17" s="21">
        <f t="shared" si="2"/>
        <v>22.837499999999999</v>
      </c>
      <c r="M17" s="19" t="str">
        <f t="shared" si="3"/>
        <v>Yes</v>
      </c>
      <c r="N17" s="19" t="str">
        <f t="shared" si="4"/>
        <v>Yes</v>
      </c>
      <c r="O17" s="19" t="str">
        <f t="shared" si="5"/>
        <v>Yes</v>
      </c>
      <c r="P17" s="19" t="str">
        <f t="shared" si="6"/>
        <v>Yes</v>
      </c>
      <c r="Q17" s="21">
        <f t="shared" si="9"/>
        <v>5.9061111111111106</v>
      </c>
      <c r="R17" s="19" t="str">
        <f t="shared" si="7"/>
        <v>&gt;1 km</v>
      </c>
    </row>
    <row r="18" spans="1:18" ht="39" customHeight="1" x14ac:dyDescent="0.35">
      <c r="A18" s="19" t="s">
        <v>117</v>
      </c>
      <c r="B18" s="19" t="str">
        <f t="shared" si="0"/>
        <v>UP78GT4960</v>
      </c>
      <c r="C18" s="19" t="s">
        <v>118</v>
      </c>
      <c r="D18" s="19" t="s">
        <v>119</v>
      </c>
      <c r="E18" s="19" t="s">
        <v>120</v>
      </c>
      <c r="F18" s="19" t="s">
        <v>121</v>
      </c>
      <c r="G18" s="21">
        <v>51.900001525878899</v>
      </c>
      <c r="H18" s="19" t="s">
        <v>122</v>
      </c>
      <c r="I18" s="19" t="s">
        <v>123</v>
      </c>
      <c r="J18" s="22">
        <f t="shared" si="8"/>
        <v>46192</v>
      </c>
      <c r="K18" s="21">
        <f t="shared" si="1"/>
        <v>0.18361111111111111</v>
      </c>
      <c r="L18" s="21">
        <f t="shared" si="2"/>
        <v>23.888888888888889</v>
      </c>
      <c r="M18" s="19" t="str">
        <f t="shared" si="3"/>
        <v>Yes</v>
      </c>
      <c r="N18" s="19" t="str">
        <f t="shared" si="4"/>
        <v>Yes</v>
      </c>
      <c r="O18" s="19" t="str">
        <f t="shared" si="5"/>
        <v>Yes</v>
      </c>
      <c r="P18" s="19" t="str">
        <f t="shared" si="6"/>
        <v>Yes</v>
      </c>
      <c r="Q18" s="21">
        <f t="shared" si="9"/>
        <v>10.979444444444443</v>
      </c>
      <c r="R18" s="19" t="str">
        <f t="shared" si="7"/>
        <v>&gt;1 km</v>
      </c>
    </row>
    <row r="19" spans="1:18" ht="39" customHeight="1" x14ac:dyDescent="0.35">
      <c r="A19" s="19" t="s">
        <v>124</v>
      </c>
      <c r="B19" s="19" t="str">
        <f t="shared" si="0"/>
        <v>UP78GT4959</v>
      </c>
      <c r="C19" s="19" t="s">
        <v>125</v>
      </c>
      <c r="D19" s="19" t="s">
        <v>126</v>
      </c>
      <c r="E19" s="19" t="s">
        <v>127</v>
      </c>
      <c r="F19" s="19" t="s">
        <v>128</v>
      </c>
      <c r="G19" s="21">
        <v>102.790000915527</v>
      </c>
      <c r="H19" s="19" t="s">
        <v>129</v>
      </c>
      <c r="I19" s="19" t="s">
        <v>130</v>
      </c>
      <c r="J19" s="22">
        <f t="shared" si="8"/>
        <v>46192</v>
      </c>
      <c r="K19" s="21">
        <f t="shared" si="1"/>
        <v>0.13083333333333336</v>
      </c>
      <c r="L19" s="21">
        <f t="shared" si="2"/>
        <v>23.831944444444446</v>
      </c>
      <c r="M19" s="19" t="str">
        <f t="shared" si="3"/>
        <v>Yes</v>
      </c>
      <c r="N19" s="19" t="str">
        <f t="shared" si="4"/>
        <v>Yes</v>
      </c>
      <c r="O19" s="19" t="str">
        <f t="shared" si="5"/>
        <v>Yes</v>
      </c>
      <c r="P19" s="19" t="str">
        <f t="shared" si="6"/>
        <v>Yes</v>
      </c>
      <c r="Q19" s="21">
        <f t="shared" si="9"/>
        <v>18.369722222222222</v>
      </c>
      <c r="R19" s="19" t="str">
        <f t="shared" si="7"/>
        <v>&gt;1 km</v>
      </c>
    </row>
    <row r="20" spans="1:18" ht="39" customHeight="1" x14ac:dyDescent="0.35">
      <c r="A20" s="19" t="s">
        <v>131</v>
      </c>
      <c r="B20" s="19" t="str">
        <f t="shared" si="0"/>
        <v>UP78GT4964</v>
      </c>
      <c r="C20" s="19" t="s">
        <v>132</v>
      </c>
      <c r="D20" s="19" t="s">
        <v>133</v>
      </c>
      <c r="E20" s="19" t="s">
        <v>134</v>
      </c>
      <c r="F20" s="19" t="s">
        <v>135</v>
      </c>
      <c r="G20" s="21">
        <v>28.0100002288818</v>
      </c>
      <c r="H20" s="19" t="s">
        <v>136</v>
      </c>
      <c r="I20" s="19" t="s">
        <v>137</v>
      </c>
      <c r="J20" s="22">
        <f t="shared" si="8"/>
        <v>46192</v>
      </c>
      <c r="K20" s="21">
        <f t="shared" si="1"/>
        <v>8.7202777777777776</v>
      </c>
      <c r="L20" s="21">
        <f t="shared" si="2"/>
        <v>13.406666666666666</v>
      </c>
      <c r="M20" s="19" t="str">
        <f t="shared" si="3"/>
        <v>Yes</v>
      </c>
      <c r="N20" s="19" t="str">
        <f t="shared" si="4"/>
        <v>Yes</v>
      </c>
      <c r="O20" s="19" t="str">
        <f t="shared" si="5"/>
        <v>No</v>
      </c>
      <c r="P20" s="19" t="str">
        <f t="shared" si="6"/>
        <v>No</v>
      </c>
      <c r="Q20" s="21">
        <f t="shared" si="9"/>
        <v>3.2488888888888887</v>
      </c>
      <c r="R20" s="19" t="str">
        <f t="shared" si="7"/>
        <v>&gt;1 km</v>
      </c>
    </row>
    <row r="21" spans="1:18" ht="39" customHeight="1" x14ac:dyDescent="0.35">
      <c r="A21" s="19" t="s">
        <v>138</v>
      </c>
      <c r="B21" s="19" t="str">
        <f t="shared" si="0"/>
        <v>UP78GT4981</v>
      </c>
      <c r="C21" s="19" t="s">
        <v>139</v>
      </c>
      <c r="D21" s="19" t="s">
        <v>140</v>
      </c>
      <c r="E21" s="19" t="s">
        <v>141</v>
      </c>
      <c r="F21" s="19" t="s">
        <v>140</v>
      </c>
      <c r="G21" s="21">
        <v>61.439998626708999</v>
      </c>
      <c r="H21" s="19" t="s">
        <v>142</v>
      </c>
      <c r="I21" s="19" t="s">
        <v>143</v>
      </c>
      <c r="J21" s="22">
        <f t="shared" si="8"/>
        <v>46192</v>
      </c>
      <c r="K21" s="21">
        <f t="shared" si="1"/>
        <v>9.3177777777777777</v>
      </c>
      <c r="L21" s="21">
        <f t="shared" si="2"/>
        <v>23.169722222222219</v>
      </c>
      <c r="M21" s="19" t="str">
        <f t="shared" si="3"/>
        <v>Yes</v>
      </c>
      <c r="N21" s="19" t="str">
        <f t="shared" si="4"/>
        <v>Yes</v>
      </c>
      <c r="O21" s="19" t="str">
        <f t="shared" si="5"/>
        <v>Yes</v>
      </c>
      <c r="P21" s="19" t="str">
        <f t="shared" si="6"/>
        <v>Yes</v>
      </c>
      <c r="Q21" s="21">
        <f t="shared" si="9"/>
        <v>7.3822222222222216</v>
      </c>
      <c r="R21" s="19" t="str">
        <f t="shared" si="7"/>
        <v>&gt;1 km</v>
      </c>
    </row>
    <row r="22" spans="1:18" ht="39" customHeight="1" x14ac:dyDescent="0.35">
      <c r="A22" s="19" t="s">
        <v>144</v>
      </c>
      <c r="B22" s="19" t="str">
        <f t="shared" si="0"/>
        <v>UP78GT5309</v>
      </c>
      <c r="C22" s="19" t="s">
        <v>145</v>
      </c>
      <c r="D22" s="19" t="s">
        <v>146</v>
      </c>
      <c r="E22" s="19" t="s">
        <v>147</v>
      </c>
      <c r="F22" s="19" t="s">
        <v>148</v>
      </c>
      <c r="G22" s="21">
        <v>67.360000610351605</v>
      </c>
      <c r="H22" s="19" t="s">
        <v>149</v>
      </c>
      <c r="I22" s="19" t="s">
        <v>150</v>
      </c>
      <c r="J22" s="22">
        <f t="shared" si="8"/>
        <v>46192</v>
      </c>
      <c r="K22" s="21">
        <f t="shared" si="1"/>
        <v>9.7777777777777769E-2</v>
      </c>
      <c r="L22" s="21">
        <f t="shared" si="2"/>
        <v>23.710555555555558</v>
      </c>
      <c r="M22" s="19" t="str">
        <f t="shared" si="3"/>
        <v>Yes</v>
      </c>
      <c r="N22" s="19" t="str">
        <f t="shared" si="4"/>
        <v>Yes</v>
      </c>
      <c r="O22" s="19" t="str">
        <f t="shared" si="5"/>
        <v>Yes</v>
      </c>
      <c r="P22" s="19" t="str">
        <f t="shared" si="6"/>
        <v>Yes</v>
      </c>
      <c r="Q22" s="21">
        <f t="shared" si="9"/>
        <v>13.003333333333334</v>
      </c>
      <c r="R22" s="19" t="str">
        <f t="shared" si="7"/>
        <v>&gt;1 km</v>
      </c>
    </row>
    <row r="23" spans="1:18" ht="39" customHeight="1" x14ac:dyDescent="0.35">
      <c r="A23" s="19" t="s">
        <v>151</v>
      </c>
      <c r="B23" s="19" t="str">
        <f t="shared" si="0"/>
        <v>UP78GT3267</v>
      </c>
      <c r="C23" s="19" t="s">
        <v>152</v>
      </c>
      <c r="D23" s="19" t="s">
        <v>153</v>
      </c>
      <c r="E23" s="19" t="s">
        <v>154</v>
      </c>
      <c r="F23" s="19" t="s">
        <v>153</v>
      </c>
      <c r="G23" s="21">
        <v>27.690000534057599</v>
      </c>
      <c r="H23" s="19" t="s">
        <v>155</v>
      </c>
      <c r="I23" s="19" t="s">
        <v>156</v>
      </c>
      <c r="J23" s="22">
        <f t="shared" si="8"/>
        <v>46192</v>
      </c>
      <c r="K23" s="21">
        <f t="shared" si="1"/>
        <v>0.3586111111111111</v>
      </c>
      <c r="L23" s="21">
        <f t="shared" si="2"/>
        <v>22.383888888888887</v>
      </c>
      <c r="M23" s="19" t="str">
        <f t="shared" si="3"/>
        <v>Yes</v>
      </c>
      <c r="N23" s="19" t="str">
        <f t="shared" si="4"/>
        <v>Yes</v>
      </c>
      <c r="O23" s="19" t="str">
        <f t="shared" si="5"/>
        <v>Yes</v>
      </c>
      <c r="P23" s="19" t="str">
        <f t="shared" si="6"/>
        <v>Yes</v>
      </c>
      <c r="Q23" s="21">
        <f t="shared" si="9"/>
        <v>4.1927777777777777</v>
      </c>
      <c r="R23" s="19" t="str">
        <f t="shared" si="7"/>
        <v>&gt;1 km</v>
      </c>
    </row>
    <row r="24" spans="1:18" ht="39" customHeight="1" x14ac:dyDescent="0.35">
      <c r="A24" s="19" t="s">
        <v>157</v>
      </c>
      <c r="B24" s="19" t="str">
        <f t="shared" si="0"/>
        <v>UP78JN2761</v>
      </c>
      <c r="C24" s="19" t="s">
        <v>158</v>
      </c>
      <c r="D24" s="19" t="s">
        <v>159</v>
      </c>
      <c r="E24" s="19" t="s">
        <v>160</v>
      </c>
      <c r="F24" s="19" t="s">
        <v>161</v>
      </c>
      <c r="G24" s="21">
        <v>54.880001068115199</v>
      </c>
      <c r="H24" s="19" t="s">
        <v>162</v>
      </c>
      <c r="I24" s="19" t="s">
        <v>163</v>
      </c>
      <c r="J24" s="22">
        <f t="shared" si="8"/>
        <v>46192</v>
      </c>
      <c r="K24" s="21">
        <f t="shared" si="1"/>
        <v>5.8333333333333327E-3</v>
      </c>
      <c r="L24" s="21">
        <f t="shared" si="2"/>
        <v>23.95888888888889</v>
      </c>
      <c r="M24" s="19" t="str">
        <f t="shared" si="3"/>
        <v>Yes</v>
      </c>
      <c r="N24" s="19" t="str">
        <f t="shared" si="4"/>
        <v>Yes</v>
      </c>
      <c r="O24" s="19" t="str">
        <f t="shared" si="5"/>
        <v>Yes</v>
      </c>
      <c r="P24" s="19" t="str">
        <f t="shared" si="6"/>
        <v>Yes</v>
      </c>
      <c r="Q24" s="21">
        <f t="shared" si="9"/>
        <v>11.366944444444444</v>
      </c>
      <c r="R24" s="19" t="str">
        <f t="shared" si="7"/>
        <v>&gt;1 km</v>
      </c>
    </row>
    <row r="25" spans="1:18" ht="39" customHeight="1" x14ac:dyDescent="0.35">
      <c r="A25" s="19" t="s">
        <v>164</v>
      </c>
      <c r="B25" s="19" t="str">
        <f t="shared" si="0"/>
        <v>UP78JN2759</v>
      </c>
      <c r="C25" s="19" t="s">
        <v>165</v>
      </c>
      <c r="D25" s="19" t="s">
        <v>166</v>
      </c>
      <c r="E25" s="19" t="s">
        <v>167</v>
      </c>
      <c r="F25" s="19" t="s">
        <v>168</v>
      </c>
      <c r="G25" s="21">
        <v>74.900001525878906</v>
      </c>
      <c r="H25" s="19" t="s">
        <v>169</v>
      </c>
      <c r="I25" s="19" t="s">
        <v>170</v>
      </c>
      <c r="J25" s="22">
        <f t="shared" si="8"/>
        <v>46192</v>
      </c>
      <c r="K25" s="21">
        <f t="shared" si="1"/>
        <v>0.4777777777777778</v>
      </c>
      <c r="L25" s="21">
        <f t="shared" si="2"/>
        <v>23.961388888888891</v>
      </c>
      <c r="M25" s="19" t="str">
        <f t="shared" si="3"/>
        <v>Yes</v>
      </c>
      <c r="N25" s="19" t="str">
        <f t="shared" si="4"/>
        <v>Yes</v>
      </c>
      <c r="O25" s="19" t="str">
        <f t="shared" si="5"/>
        <v>Yes</v>
      </c>
      <c r="P25" s="19" t="str">
        <f t="shared" si="6"/>
        <v>Yes</v>
      </c>
      <c r="Q25" s="21">
        <f t="shared" si="9"/>
        <v>12.613333333333333</v>
      </c>
      <c r="R25" s="19" t="str">
        <f t="shared" si="7"/>
        <v>&gt;1 km</v>
      </c>
    </row>
    <row r="26" spans="1:18" ht="39" customHeight="1" x14ac:dyDescent="0.35">
      <c r="A26" s="19" t="s">
        <v>171</v>
      </c>
      <c r="B26" s="19" t="str">
        <f t="shared" si="0"/>
        <v>UP78KT 8351</v>
      </c>
      <c r="C26" s="19" t="s">
        <v>172</v>
      </c>
      <c r="D26" s="19" t="s">
        <v>30</v>
      </c>
      <c r="E26" s="19" t="s">
        <v>173</v>
      </c>
      <c r="F26" s="19" t="s">
        <v>174</v>
      </c>
      <c r="G26" s="21">
        <v>36.939998626708999</v>
      </c>
      <c r="H26" s="19" t="s">
        <v>175</v>
      </c>
      <c r="I26" s="19" t="s">
        <v>176</v>
      </c>
      <c r="J26" s="22">
        <f t="shared" si="8"/>
        <v>46192</v>
      </c>
      <c r="K26" s="21">
        <f t="shared" si="1"/>
        <v>0.5575</v>
      </c>
      <c r="L26" s="21">
        <f t="shared" si="2"/>
        <v>23.276111111111113</v>
      </c>
      <c r="M26" s="19" t="str">
        <f t="shared" si="3"/>
        <v>Yes</v>
      </c>
      <c r="N26" s="19" t="str">
        <f t="shared" si="4"/>
        <v>Yes</v>
      </c>
      <c r="O26" s="19" t="str">
        <f t="shared" si="5"/>
        <v>Yes</v>
      </c>
      <c r="P26" s="19" t="str">
        <f t="shared" si="6"/>
        <v>Yes</v>
      </c>
      <c r="Q26" s="21">
        <f t="shared" si="9"/>
        <v>9.6575000000000006</v>
      </c>
      <c r="R26" s="19" t="str">
        <f t="shared" si="7"/>
        <v>&gt;1 km</v>
      </c>
    </row>
    <row r="27" spans="1:18" ht="39" customHeight="1" x14ac:dyDescent="0.35">
      <c r="A27" s="19" t="s">
        <v>177</v>
      </c>
      <c r="B27" s="19" t="str">
        <f t="shared" si="0"/>
        <v>UP78JN4271</v>
      </c>
      <c r="C27" s="19" t="s">
        <v>178</v>
      </c>
      <c r="D27" s="19" t="s">
        <v>179</v>
      </c>
      <c r="E27" s="19" t="s">
        <v>180</v>
      </c>
      <c r="F27" s="19" t="s">
        <v>181</v>
      </c>
      <c r="G27" s="21">
        <v>75.400001525878906</v>
      </c>
      <c r="H27" s="19" t="s">
        <v>182</v>
      </c>
      <c r="I27" s="19" t="s">
        <v>183</v>
      </c>
      <c r="J27" s="22">
        <f t="shared" si="8"/>
        <v>46192</v>
      </c>
      <c r="K27" s="21">
        <f t="shared" si="1"/>
        <v>2.9841666666666664</v>
      </c>
      <c r="L27" s="21">
        <f t="shared" si="2"/>
        <v>22.307499999999997</v>
      </c>
      <c r="M27" s="19" t="str">
        <f t="shared" si="3"/>
        <v>Yes</v>
      </c>
      <c r="N27" s="19" t="str">
        <f t="shared" si="4"/>
        <v>Yes</v>
      </c>
      <c r="O27" s="19" t="str">
        <f t="shared" si="5"/>
        <v>Yes</v>
      </c>
      <c r="P27" s="19" t="str">
        <f t="shared" si="6"/>
        <v>Yes</v>
      </c>
      <c r="Q27" s="21">
        <f t="shared" si="9"/>
        <v>9.0525000000000002</v>
      </c>
      <c r="R27" s="19" t="str">
        <f t="shared" si="7"/>
        <v>&gt;1 km</v>
      </c>
    </row>
    <row r="28" spans="1:18" ht="39" customHeight="1" x14ac:dyDescent="0.35">
      <c r="A28" s="19" t="s">
        <v>184</v>
      </c>
      <c r="B28" s="19" t="str">
        <f t="shared" si="0"/>
        <v>UP78JN2762</v>
      </c>
      <c r="C28" s="19" t="s">
        <v>185</v>
      </c>
      <c r="D28" s="19" t="s">
        <v>186</v>
      </c>
      <c r="E28" s="19" t="s">
        <v>187</v>
      </c>
      <c r="F28" s="19" t="s">
        <v>188</v>
      </c>
      <c r="G28" s="21">
        <v>34.080001831054702</v>
      </c>
      <c r="H28" s="19" t="s">
        <v>189</v>
      </c>
      <c r="I28" s="19" t="s">
        <v>190</v>
      </c>
      <c r="J28" s="22">
        <f t="shared" si="8"/>
        <v>46192</v>
      </c>
      <c r="K28" s="21">
        <f t="shared" si="1"/>
        <v>2.6052777777777778</v>
      </c>
      <c r="L28" s="21">
        <f t="shared" si="2"/>
        <v>20.898888888888891</v>
      </c>
      <c r="M28" s="19" t="str">
        <f t="shared" si="3"/>
        <v>Yes</v>
      </c>
      <c r="N28" s="19" t="str">
        <f t="shared" si="4"/>
        <v>Yes</v>
      </c>
      <c r="O28" s="19" t="str">
        <f t="shared" si="5"/>
        <v>Yes</v>
      </c>
      <c r="P28" s="19" t="str">
        <f t="shared" si="6"/>
        <v>Yes</v>
      </c>
      <c r="Q28" s="21">
        <f t="shared" si="9"/>
        <v>7.1763888888888889</v>
      </c>
      <c r="R28" s="19" t="str">
        <f t="shared" si="7"/>
        <v>&gt;1 km</v>
      </c>
    </row>
    <row r="29" spans="1:18" ht="39" customHeight="1" x14ac:dyDescent="0.35">
      <c r="A29" s="19" t="s">
        <v>191</v>
      </c>
      <c r="B29" s="19" t="str">
        <f t="shared" si="0"/>
        <v>UP78GT4961</v>
      </c>
      <c r="C29" s="19" t="s">
        <v>192</v>
      </c>
      <c r="D29" s="19" t="s">
        <v>193</v>
      </c>
      <c r="E29" s="19" t="s">
        <v>194</v>
      </c>
      <c r="F29" s="19" t="s">
        <v>193</v>
      </c>
      <c r="G29" s="21">
        <v>64.760002136230497</v>
      </c>
      <c r="H29" s="19" t="s">
        <v>195</v>
      </c>
      <c r="I29" s="19" t="s">
        <v>196</v>
      </c>
      <c r="J29" s="22">
        <f t="shared" si="8"/>
        <v>46192</v>
      </c>
      <c r="K29" s="21">
        <f t="shared" si="1"/>
        <v>2.5833333333333333E-2</v>
      </c>
      <c r="L29" s="21">
        <f t="shared" si="2"/>
        <v>23.784444444444446</v>
      </c>
      <c r="M29" s="19" t="str">
        <f t="shared" si="3"/>
        <v>Yes</v>
      </c>
      <c r="N29" s="19" t="str">
        <f t="shared" si="4"/>
        <v>Yes</v>
      </c>
      <c r="O29" s="19" t="str">
        <f t="shared" si="5"/>
        <v>Yes</v>
      </c>
      <c r="P29" s="19" t="str">
        <f t="shared" si="6"/>
        <v>Yes</v>
      </c>
      <c r="Q29" s="21">
        <f t="shared" si="9"/>
        <v>11.961666666666666</v>
      </c>
      <c r="R29" s="19" t="str">
        <f t="shared" si="7"/>
        <v>&gt;1 km</v>
      </c>
    </row>
    <row r="30" spans="1:18" ht="39" customHeight="1" x14ac:dyDescent="0.35">
      <c r="A30" s="19" t="s">
        <v>197</v>
      </c>
      <c r="B30" s="19" t="str">
        <f t="shared" si="0"/>
        <v>UP78KT8350</v>
      </c>
      <c r="C30" s="19" t="s">
        <v>198</v>
      </c>
      <c r="D30" s="19" t="s">
        <v>199</v>
      </c>
      <c r="E30" s="19" t="s">
        <v>200</v>
      </c>
      <c r="F30" s="19" t="s">
        <v>199</v>
      </c>
      <c r="G30" s="21">
        <v>41.7299995422363</v>
      </c>
      <c r="H30" s="19" t="s">
        <v>201</v>
      </c>
      <c r="I30" s="19" t="s">
        <v>202</v>
      </c>
      <c r="J30" s="22">
        <f t="shared" si="8"/>
        <v>46192</v>
      </c>
      <c r="K30" s="21">
        <f t="shared" si="1"/>
        <v>0.63305555555555559</v>
      </c>
      <c r="L30" s="21">
        <f t="shared" si="2"/>
        <v>23.659444444444443</v>
      </c>
      <c r="M30" s="19" t="str">
        <f t="shared" si="3"/>
        <v>Yes</v>
      </c>
      <c r="N30" s="19" t="str">
        <f t="shared" si="4"/>
        <v>Yes</v>
      </c>
      <c r="O30" s="19" t="str">
        <f t="shared" si="5"/>
        <v>Yes</v>
      </c>
      <c r="P30" s="19" t="str">
        <f t="shared" si="6"/>
        <v>Yes</v>
      </c>
      <c r="Q30" s="21">
        <f t="shared" si="9"/>
        <v>9.4130555555555553</v>
      </c>
      <c r="R30" s="19" t="str">
        <f t="shared" si="7"/>
        <v>&gt;1 km</v>
      </c>
    </row>
    <row r="31" spans="1:18" ht="39" customHeight="1" x14ac:dyDescent="0.35">
      <c r="A31" s="19" t="s">
        <v>203</v>
      </c>
      <c r="B31" s="19" t="str">
        <f t="shared" si="0"/>
        <v>UP78JN2763</v>
      </c>
      <c r="C31" s="19" t="s">
        <v>204</v>
      </c>
      <c r="D31" s="19" t="s">
        <v>205</v>
      </c>
      <c r="E31" s="19" t="s">
        <v>206</v>
      </c>
      <c r="F31" s="19" t="s">
        <v>207</v>
      </c>
      <c r="G31" s="21">
        <v>135.91000366210901</v>
      </c>
      <c r="H31" s="19" t="s">
        <v>208</v>
      </c>
      <c r="I31" s="19" t="s">
        <v>209</v>
      </c>
      <c r="J31" s="22">
        <f t="shared" si="8"/>
        <v>46192</v>
      </c>
      <c r="K31" s="21">
        <f t="shared" si="1"/>
        <v>1.7222222222222222E-2</v>
      </c>
      <c r="L31" s="21">
        <f t="shared" si="2"/>
        <v>23.873888888888889</v>
      </c>
      <c r="M31" s="19" t="str">
        <f t="shared" si="3"/>
        <v>Yes</v>
      </c>
      <c r="N31" s="19" t="str">
        <f t="shared" si="4"/>
        <v>Yes</v>
      </c>
      <c r="O31" s="19" t="str">
        <f t="shared" si="5"/>
        <v>Yes</v>
      </c>
      <c r="P31" s="19" t="str">
        <f t="shared" si="6"/>
        <v>Yes</v>
      </c>
      <c r="Q31" s="21">
        <f t="shared" si="9"/>
        <v>16.816111111111113</v>
      </c>
      <c r="R31" s="19" t="str">
        <f t="shared" si="7"/>
        <v>&gt;1 km</v>
      </c>
    </row>
    <row r="32" spans="1:18" ht="39" customHeight="1" x14ac:dyDescent="0.35">
      <c r="A32" s="19" t="s">
        <v>210</v>
      </c>
      <c r="B32" s="19" t="str">
        <f t="shared" si="0"/>
        <v>UP78KT4272</v>
      </c>
      <c r="C32" s="19" t="s">
        <v>211</v>
      </c>
      <c r="D32" s="19" t="s">
        <v>212</v>
      </c>
      <c r="E32" s="19" t="s">
        <v>213</v>
      </c>
      <c r="F32" s="19" t="s">
        <v>214</v>
      </c>
      <c r="G32" s="21">
        <v>66.970001220703097</v>
      </c>
      <c r="H32" s="19" t="s">
        <v>215</v>
      </c>
      <c r="I32" s="19" t="s">
        <v>216</v>
      </c>
      <c r="J32" s="22">
        <f t="shared" si="8"/>
        <v>46192</v>
      </c>
      <c r="K32" s="21">
        <f t="shared" si="1"/>
        <v>3.6111111111111114E-3</v>
      </c>
      <c r="L32" s="21">
        <f t="shared" si="2"/>
        <v>23.860277777777778</v>
      </c>
      <c r="M32" s="19" t="str">
        <f t="shared" si="3"/>
        <v>Yes</v>
      </c>
      <c r="N32" s="19" t="str">
        <f t="shared" si="4"/>
        <v>Yes</v>
      </c>
      <c r="O32" s="19" t="str">
        <f t="shared" si="5"/>
        <v>Yes</v>
      </c>
      <c r="P32" s="19" t="str">
        <f t="shared" si="6"/>
        <v>Yes</v>
      </c>
      <c r="Q32" s="21">
        <f t="shared" si="9"/>
        <v>8.1461111111111109</v>
      </c>
      <c r="R32" s="19" t="str">
        <f t="shared" si="7"/>
        <v>&gt;1 km</v>
      </c>
    </row>
    <row r="33" spans="1:18" ht="39" customHeight="1" x14ac:dyDescent="0.35">
      <c r="A33" s="19" t="s">
        <v>217</v>
      </c>
      <c r="B33" s="19" t="str">
        <f t="shared" si="0"/>
        <v>UP78KT4270</v>
      </c>
      <c r="C33" s="19" t="s">
        <v>218</v>
      </c>
      <c r="D33" s="19" t="s">
        <v>219</v>
      </c>
      <c r="E33" s="19" t="s">
        <v>220</v>
      </c>
      <c r="F33" s="19" t="s">
        <v>221</v>
      </c>
      <c r="G33" s="21">
        <v>96.059997558593807</v>
      </c>
      <c r="H33" s="19" t="s">
        <v>222</v>
      </c>
      <c r="I33" s="19" t="s">
        <v>223</v>
      </c>
      <c r="J33" s="22">
        <f t="shared" si="8"/>
        <v>46192</v>
      </c>
      <c r="K33" s="21">
        <f t="shared" si="1"/>
        <v>0.12972222222222221</v>
      </c>
      <c r="L33" s="21">
        <f t="shared" si="2"/>
        <v>23.925555555555555</v>
      </c>
      <c r="M33" s="19" t="str">
        <f t="shared" si="3"/>
        <v>Yes</v>
      </c>
      <c r="N33" s="19" t="str">
        <f t="shared" si="4"/>
        <v>Yes</v>
      </c>
      <c r="O33" s="19" t="str">
        <f t="shared" si="5"/>
        <v>Yes</v>
      </c>
      <c r="P33" s="19" t="str">
        <f t="shared" si="6"/>
        <v>Yes</v>
      </c>
      <c r="Q33" s="21">
        <f t="shared" si="9"/>
        <v>17.128888888888888</v>
      </c>
      <c r="R33" s="19" t="str">
        <f t="shared" si="7"/>
        <v>&gt;1 km</v>
      </c>
    </row>
    <row r="34" spans="1:18" ht="39" customHeight="1" x14ac:dyDescent="0.35">
      <c r="A34" s="19" t="s">
        <v>224</v>
      </c>
      <c r="B34" s="19" t="str">
        <f t="shared" si="0"/>
        <v>UP78KT8347</v>
      </c>
      <c r="C34" s="19" t="s">
        <v>225</v>
      </c>
      <c r="D34" s="19" t="s">
        <v>226</v>
      </c>
      <c r="E34" s="19" t="s">
        <v>227</v>
      </c>
      <c r="F34" s="19" t="s">
        <v>228</v>
      </c>
      <c r="G34" s="21">
        <v>48.880001068115199</v>
      </c>
      <c r="H34" s="19" t="s">
        <v>229</v>
      </c>
      <c r="I34" s="19" t="s">
        <v>230</v>
      </c>
      <c r="J34" s="22">
        <f t="shared" si="8"/>
        <v>46192</v>
      </c>
      <c r="K34" s="21">
        <f t="shared" si="1"/>
        <v>4.777777777777778E-2</v>
      </c>
      <c r="L34" s="21">
        <f t="shared" si="2"/>
        <v>23.936944444444443</v>
      </c>
      <c r="M34" s="19" t="str">
        <f t="shared" si="3"/>
        <v>Yes</v>
      </c>
      <c r="N34" s="19" t="str">
        <f t="shared" si="4"/>
        <v>Yes</v>
      </c>
      <c r="O34" s="19" t="str">
        <f t="shared" si="5"/>
        <v>Yes</v>
      </c>
      <c r="P34" s="19" t="str">
        <f t="shared" si="6"/>
        <v>Yes</v>
      </c>
      <c r="Q34" s="21">
        <f t="shared" si="9"/>
        <v>11.054444444444446</v>
      </c>
      <c r="R34" s="19" t="str">
        <f t="shared" si="7"/>
        <v>&gt;1 km</v>
      </c>
    </row>
    <row r="35" spans="1:18" ht="39" customHeight="1" x14ac:dyDescent="0.35">
      <c r="A35" s="19" t="s">
        <v>231</v>
      </c>
      <c r="B35" s="19" t="str">
        <f t="shared" si="0"/>
        <v>UP78KT8352</v>
      </c>
      <c r="C35" s="19" t="s">
        <v>232</v>
      </c>
      <c r="D35" s="19" t="s">
        <v>233</v>
      </c>
      <c r="E35" s="19" t="s">
        <v>234</v>
      </c>
      <c r="F35" s="19" t="s">
        <v>235</v>
      </c>
      <c r="G35" s="21">
        <v>28.600000381469702</v>
      </c>
      <c r="H35" s="19" t="s">
        <v>236</v>
      </c>
      <c r="I35" s="19" t="s">
        <v>237</v>
      </c>
      <c r="J35" s="22">
        <f t="shared" si="8"/>
        <v>46192</v>
      </c>
      <c r="K35" s="21">
        <f t="shared" si="1"/>
        <v>0.16694444444444445</v>
      </c>
      <c r="L35" s="21">
        <f t="shared" si="2"/>
        <v>23.596388888888889</v>
      </c>
      <c r="M35" s="19" t="str">
        <f t="shared" si="3"/>
        <v>Yes</v>
      </c>
      <c r="N35" s="19" t="str">
        <f t="shared" si="4"/>
        <v>Yes</v>
      </c>
      <c r="O35" s="19" t="str">
        <f t="shared" si="5"/>
        <v>Yes</v>
      </c>
      <c r="P35" s="19" t="str">
        <f t="shared" si="6"/>
        <v>Yes</v>
      </c>
      <c r="Q35" s="21">
        <f t="shared" si="9"/>
        <v>7.9688888888888885</v>
      </c>
      <c r="R35" s="19" t="str">
        <f t="shared" si="7"/>
        <v>&gt;1 km</v>
      </c>
    </row>
    <row r="36" spans="1:18" ht="39" customHeight="1" x14ac:dyDescent="0.35">
      <c r="A36" s="19" t="s">
        <v>238</v>
      </c>
      <c r="B36" s="19" t="str">
        <f t="shared" si="0"/>
        <v>UP78GT3615</v>
      </c>
      <c r="C36" s="19" t="s">
        <v>239</v>
      </c>
      <c r="D36" s="19" t="s">
        <v>240</v>
      </c>
      <c r="E36" s="19" t="s">
        <v>241</v>
      </c>
      <c r="F36" s="19" t="s">
        <v>242</v>
      </c>
      <c r="G36" s="21">
        <v>51.439998626708999</v>
      </c>
      <c r="H36" s="19" t="s">
        <v>243</v>
      </c>
      <c r="I36" s="19" t="s">
        <v>244</v>
      </c>
      <c r="J36" s="22">
        <f t="shared" si="8"/>
        <v>46192</v>
      </c>
      <c r="K36" s="21">
        <f t="shared" si="1"/>
        <v>0.14472222222222222</v>
      </c>
      <c r="L36" s="21">
        <f t="shared" si="2"/>
        <v>22.736944444444443</v>
      </c>
      <c r="M36" s="19" t="str">
        <f t="shared" si="3"/>
        <v>Yes</v>
      </c>
      <c r="N36" s="19" t="str">
        <f t="shared" si="4"/>
        <v>Yes</v>
      </c>
      <c r="O36" s="19" t="str">
        <f t="shared" si="5"/>
        <v>Yes</v>
      </c>
      <c r="P36" s="19" t="str">
        <f t="shared" si="6"/>
        <v>Yes</v>
      </c>
      <c r="Q36" s="21">
        <f t="shared" si="9"/>
        <v>7.6791666666666671</v>
      </c>
      <c r="R36" s="19" t="str">
        <f t="shared" si="7"/>
        <v>&gt;1 km</v>
      </c>
    </row>
    <row r="37" spans="1:18" ht="39" customHeight="1" x14ac:dyDescent="0.35">
      <c r="A37" s="19" t="s">
        <v>245</v>
      </c>
      <c r="B37" s="19" t="str">
        <f t="shared" si="0"/>
        <v>UP78KT8355</v>
      </c>
      <c r="C37" s="19" t="s">
        <v>246</v>
      </c>
      <c r="D37" s="19" t="s">
        <v>247</v>
      </c>
      <c r="E37" s="19" t="s">
        <v>248</v>
      </c>
      <c r="F37" s="19" t="s">
        <v>249</v>
      </c>
      <c r="G37" s="21">
        <v>90.139999389648395</v>
      </c>
      <c r="H37" s="19" t="s">
        <v>250</v>
      </c>
      <c r="I37" s="19" t="s">
        <v>251</v>
      </c>
      <c r="J37" s="22">
        <f t="shared" si="8"/>
        <v>46192</v>
      </c>
      <c r="K37" s="21">
        <f t="shared" si="1"/>
        <v>4.2222222222222223E-2</v>
      </c>
      <c r="L37" s="21">
        <f t="shared" si="2"/>
        <v>23.963888888888889</v>
      </c>
      <c r="M37" s="19" t="str">
        <f t="shared" si="3"/>
        <v>Yes</v>
      </c>
      <c r="N37" s="19" t="str">
        <f t="shared" si="4"/>
        <v>Yes</v>
      </c>
      <c r="O37" s="19" t="str">
        <f t="shared" si="5"/>
        <v>Yes</v>
      </c>
      <c r="P37" s="19" t="str">
        <f t="shared" si="6"/>
        <v>Yes</v>
      </c>
      <c r="Q37" s="21">
        <f t="shared" si="9"/>
        <v>12.73111111111111</v>
      </c>
      <c r="R37" s="19" t="str">
        <f t="shared" si="7"/>
        <v>&gt;1 km</v>
      </c>
    </row>
    <row r="38" spans="1:18" ht="39" customHeight="1" x14ac:dyDescent="0.35">
      <c r="A38" s="19" t="s">
        <v>252</v>
      </c>
      <c r="B38" s="19" t="str">
        <f t="shared" si="0"/>
        <v>UP78KT8356</v>
      </c>
      <c r="C38" s="19" t="s">
        <v>253</v>
      </c>
      <c r="D38" s="19" t="s">
        <v>135</v>
      </c>
      <c r="E38" s="19" t="s">
        <v>254</v>
      </c>
      <c r="F38" s="19" t="s">
        <v>135</v>
      </c>
      <c r="G38" s="21">
        <v>35.709999084472699</v>
      </c>
      <c r="H38" s="19" t="s">
        <v>255</v>
      </c>
      <c r="I38" s="19" t="s">
        <v>256</v>
      </c>
      <c r="J38" s="22">
        <f t="shared" si="8"/>
        <v>46192</v>
      </c>
      <c r="K38" s="21">
        <f t="shared" si="1"/>
        <v>9.8741666666666656</v>
      </c>
      <c r="L38" s="21">
        <f t="shared" si="2"/>
        <v>23.894444444444446</v>
      </c>
      <c r="M38" s="19" t="str">
        <f t="shared" si="3"/>
        <v>Yes</v>
      </c>
      <c r="N38" s="19" t="str">
        <f t="shared" si="4"/>
        <v>Yes</v>
      </c>
      <c r="O38" s="19" t="str">
        <f t="shared" si="5"/>
        <v>Yes</v>
      </c>
      <c r="P38" s="19" t="str">
        <f t="shared" si="6"/>
        <v>Yes</v>
      </c>
      <c r="Q38" s="21">
        <f t="shared" si="9"/>
        <v>5.6480555555555556</v>
      </c>
      <c r="R38" s="19" t="str">
        <f t="shared" si="7"/>
        <v>&gt;1 km</v>
      </c>
    </row>
    <row r="39" spans="1:18" ht="39" customHeight="1" x14ac:dyDescent="0.35">
      <c r="A39" s="19" t="s">
        <v>257</v>
      </c>
      <c r="B39" s="19" t="str">
        <f t="shared" si="0"/>
        <v>UP78JN8997</v>
      </c>
      <c r="C39" s="19" t="s">
        <v>258</v>
      </c>
      <c r="D39" s="19" t="s">
        <v>259</v>
      </c>
      <c r="E39" s="19" t="s">
        <v>260</v>
      </c>
      <c r="F39" s="19" t="s">
        <v>261</v>
      </c>
      <c r="G39" s="21">
        <v>74.260002136230497</v>
      </c>
      <c r="H39" s="19" t="s">
        <v>262</v>
      </c>
      <c r="I39" s="19" t="s">
        <v>263</v>
      </c>
      <c r="J39" s="22">
        <f t="shared" si="8"/>
        <v>46192</v>
      </c>
      <c r="K39" s="21">
        <f t="shared" si="1"/>
        <v>6.1111111111111106E-3</v>
      </c>
      <c r="L39" s="21">
        <f t="shared" si="2"/>
        <v>23.793611111111112</v>
      </c>
      <c r="M39" s="19" t="str">
        <f t="shared" si="3"/>
        <v>Yes</v>
      </c>
      <c r="N39" s="19" t="str">
        <f t="shared" si="4"/>
        <v>Yes</v>
      </c>
      <c r="O39" s="19" t="str">
        <f t="shared" si="5"/>
        <v>Yes</v>
      </c>
      <c r="P39" s="19" t="str">
        <f t="shared" si="6"/>
        <v>Yes</v>
      </c>
      <c r="Q39" s="21">
        <f t="shared" si="9"/>
        <v>14.10361111111111</v>
      </c>
      <c r="R39" s="19" t="str">
        <f t="shared" si="7"/>
        <v>&gt;1 km</v>
      </c>
    </row>
    <row r="40" spans="1:18" ht="39" customHeight="1" x14ac:dyDescent="0.35">
      <c r="A40" s="19" t="s">
        <v>264</v>
      </c>
      <c r="B40" s="19" t="str">
        <f t="shared" si="0"/>
        <v>UP78KT6809</v>
      </c>
      <c r="C40" s="19" t="s">
        <v>265</v>
      </c>
      <c r="D40" s="19" t="s">
        <v>135</v>
      </c>
      <c r="E40" s="19" t="s">
        <v>266</v>
      </c>
      <c r="F40" s="19" t="s">
        <v>135</v>
      </c>
      <c r="G40" s="21">
        <v>70.050003051757798</v>
      </c>
      <c r="H40" s="19" t="s">
        <v>267</v>
      </c>
      <c r="I40" s="19" t="s">
        <v>268</v>
      </c>
      <c r="J40" s="22">
        <f t="shared" si="8"/>
        <v>46192</v>
      </c>
      <c r="K40" s="21">
        <f t="shared" si="1"/>
        <v>1.0388888888888888</v>
      </c>
      <c r="L40" s="21">
        <f t="shared" si="2"/>
        <v>20.970833333333335</v>
      </c>
      <c r="M40" s="19" t="str">
        <f t="shared" si="3"/>
        <v>Yes</v>
      </c>
      <c r="N40" s="19" t="str">
        <f t="shared" si="4"/>
        <v>Yes</v>
      </c>
      <c r="O40" s="19" t="str">
        <f t="shared" si="5"/>
        <v>Yes</v>
      </c>
      <c r="P40" s="19" t="str">
        <f t="shared" si="6"/>
        <v>Yes</v>
      </c>
      <c r="Q40" s="21">
        <f t="shared" si="9"/>
        <v>4.9430555555555555</v>
      </c>
      <c r="R40" s="19" t="str">
        <f t="shared" si="7"/>
        <v>&gt;1 km</v>
      </c>
    </row>
    <row r="41" spans="1:18" ht="39" customHeight="1" x14ac:dyDescent="0.35">
      <c r="A41" s="19" t="s">
        <v>269</v>
      </c>
      <c r="B41" s="19" t="str">
        <f t="shared" si="0"/>
        <v>UP78LN5012</v>
      </c>
      <c r="C41" s="19" t="s">
        <v>270</v>
      </c>
      <c r="D41" s="19" t="s">
        <v>271</v>
      </c>
      <c r="E41" s="19" t="s">
        <v>272</v>
      </c>
      <c r="F41" s="19" t="s">
        <v>273</v>
      </c>
      <c r="G41" s="21">
        <v>131.669998168945</v>
      </c>
      <c r="H41" s="19" t="s">
        <v>274</v>
      </c>
      <c r="I41" s="19" t="s">
        <v>275</v>
      </c>
      <c r="J41" s="22">
        <f t="shared" si="8"/>
        <v>46192</v>
      </c>
      <c r="K41" s="21">
        <f t="shared" si="1"/>
        <v>1.118611111111111</v>
      </c>
      <c r="L41" s="21">
        <f t="shared" si="2"/>
        <v>23.883333333333333</v>
      </c>
      <c r="M41" s="19" t="str">
        <f t="shared" si="3"/>
        <v>Yes</v>
      </c>
      <c r="N41" s="19" t="str">
        <f t="shared" si="4"/>
        <v>Yes</v>
      </c>
      <c r="O41" s="19" t="str">
        <f t="shared" si="5"/>
        <v>Yes</v>
      </c>
      <c r="P41" s="19" t="str">
        <f t="shared" si="6"/>
        <v>Yes</v>
      </c>
      <c r="Q41" s="21">
        <f t="shared" si="9"/>
        <v>13.10638888888889</v>
      </c>
      <c r="R41" s="19" t="str">
        <f t="shared" si="7"/>
        <v>&gt;1 km</v>
      </c>
    </row>
    <row r="42" spans="1:18" x14ac:dyDescent="0.35">
      <c r="A42" t="s">
        <v>350</v>
      </c>
      <c r="R42">
        <f>SUBTOTAL(103,RawDataTable[Distance Bucket])</f>
        <v>40</v>
      </c>
    </row>
    <row r="45" spans="1:18" x14ac:dyDescent="0.35">
      <c r="A45" s="1" t="s">
        <v>276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zoomScaleNormal="100" workbookViewId="0">
      <pane ySplit="1" topLeftCell="A2" activePane="bottomLeft" state="frozen"/>
      <selection pane="bottomLeft" activeCell="C9" sqref="C9"/>
    </sheetView>
  </sheetViews>
  <sheetFormatPr defaultColWidth="8.6328125" defaultRowHeight="14.5" x14ac:dyDescent="0.35"/>
  <cols>
    <col min="1" max="1" width="16" customWidth="1"/>
    <col min="2" max="2" width="18" customWidth="1"/>
    <col min="3" max="3" width="16" customWidth="1"/>
    <col min="4" max="4" width="14" customWidth="1"/>
    <col min="5" max="5" width="20" customWidth="1"/>
    <col min="6" max="6" width="11" customWidth="1"/>
    <col min="7" max="7" width="12" customWidth="1"/>
    <col min="8" max="10" width="14" customWidth="1"/>
    <col min="11" max="11" width="16" customWidth="1"/>
    <col min="12" max="12" width="22" customWidth="1"/>
    <col min="13" max="13" width="19.54296875" customWidth="1"/>
  </cols>
  <sheetData>
    <row r="1" spans="1:13" ht="31.5" customHeight="1" x14ac:dyDescent="0.35">
      <c r="A1" s="7" t="s">
        <v>277</v>
      </c>
      <c r="B1" s="7" t="s">
        <v>352</v>
      </c>
      <c r="C1" s="7" t="s">
        <v>278</v>
      </c>
      <c r="D1" s="7" t="s">
        <v>279</v>
      </c>
      <c r="E1" s="7" t="s">
        <v>280</v>
      </c>
      <c r="F1" s="7" t="s">
        <v>281</v>
      </c>
      <c r="G1" s="7" t="s">
        <v>282</v>
      </c>
      <c r="H1" s="7" t="s">
        <v>283</v>
      </c>
      <c r="I1" s="7" t="s">
        <v>284</v>
      </c>
      <c r="J1" s="7" t="s">
        <v>285</v>
      </c>
      <c r="K1" s="7" t="s">
        <v>286</v>
      </c>
      <c r="L1" s="7" t="s">
        <v>351</v>
      </c>
      <c r="M1" s="8" t="s">
        <v>353</v>
      </c>
    </row>
    <row r="2" spans="1:13" x14ac:dyDescent="0.35">
      <c r="A2" s="2" t="s">
        <v>287</v>
      </c>
      <c r="B2" s="2">
        <f>COUNTIF('Consolidated Detail Report'!$B:$B,A2)</f>
        <v>1</v>
      </c>
      <c r="C2" s="3">
        <f>SUMIF('Consolidated Detail Report'!$B:$B,A2,'Consolidated Detail Report'!$G:$G)</f>
        <v>90.830001831054702</v>
      </c>
      <c r="D2" s="3">
        <f t="shared" ref="D2:D41" si="0">IFERROR(C2/B2,0)</f>
        <v>90.830001831054702</v>
      </c>
      <c r="E2" s="3">
        <f>IFERROR(AVERAGEIF('Consolidated Detail Report'!$B:$B,A2,'Consolidated Detail Report'!$Q:$Q),0)</f>
        <v>9.2455555555555566</v>
      </c>
      <c r="F2" s="2">
        <f>COUNTIFS('Consolidated Detail Report'!$B:$B,A2,'Consolidated Detail Report'!$G:$G,"&gt;1")</f>
        <v>1</v>
      </c>
      <c r="G2" s="2">
        <f>COUNTIFS('Consolidated Detail Report'!$B:$B,A2,'Consolidated Detail Report'!$G:$G,"&lt;=1")</f>
        <v>0</v>
      </c>
      <c r="H2" s="2">
        <f>COUNTIFS('Consolidated Detail Report'!$B:$B,A2,'Consolidated Detail Report'!$M:$M,"Yes")</f>
        <v>1</v>
      </c>
      <c r="I2" s="2">
        <f>COUNTIFS('Consolidated Detail Report'!$B:$B,A2,'Consolidated Detail Report'!$N:$N,"Yes")</f>
        <v>1</v>
      </c>
      <c r="J2" s="2">
        <f>COUNTIFS('Consolidated Detail Report'!$B:$B,A2,'Consolidated Detail Report'!$O:$O,"Yes")</f>
        <v>1</v>
      </c>
      <c r="K2" s="2">
        <f>COUNTIFS('Consolidated Detail Report'!$B:$B,A2,'Consolidated Detail Report'!$P:$P,"Yes")</f>
        <v>1</v>
      </c>
      <c r="L2" s="2"/>
      <c r="M2" s="5"/>
    </row>
    <row r="3" spans="1:13" x14ac:dyDescent="0.35">
      <c r="A3" s="2" t="s">
        <v>288</v>
      </c>
      <c r="B3" s="2">
        <f>COUNTIF('Consolidated Detail Report'!$B:$B,A3)</f>
        <v>1</v>
      </c>
      <c r="C3" s="3">
        <f>SUMIF('Consolidated Detail Report'!$B:$B,A3,'Consolidated Detail Report'!$G:$G)</f>
        <v>60.529998779296903</v>
      </c>
      <c r="D3" s="3">
        <f t="shared" si="0"/>
        <v>60.529998779296903</v>
      </c>
      <c r="E3" s="3">
        <f>IFERROR(AVERAGEIF('Consolidated Detail Report'!$B:$B,A3,'Consolidated Detail Report'!$Q:$Q),0)</f>
        <v>5.6508333333333329</v>
      </c>
      <c r="F3" s="2">
        <f>COUNTIFS('Consolidated Detail Report'!$B:$B,A3,'Consolidated Detail Report'!$G:$G,"&gt;1")</f>
        <v>1</v>
      </c>
      <c r="G3" s="2">
        <f>COUNTIFS('Consolidated Detail Report'!$B:$B,A3,'Consolidated Detail Report'!$G:$G,"&lt;=1")</f>
        <v>0</v>
      </c>
      <c r="H3" s="2">
        <f>COUNTIFS('Consolidated Detail Report'!$B:$B,A3,'Consolidated Detail Report'!$M:$M,"Yes")</f>
        <v>1</v>
      </c>
      <c r="I3" s="2">
        <f>COUNTIFS('Consolidated Detail Report'!$B:$B,A3,'Consolidated Detail Report'!$N:$N,"Yes")</f>
        <v>1</v>
      </c>
      <c r="J3" s="2">
        <f>COUNTIFS('Consolidated Detail Report'!$B:$B,A3,'Consolidated Detail Report'!$O:$O,"Yes")</f>
        <v>1</v>
      </c>
      <c r="K3" s="2">
        <f>COUNTIFS('Consolidated Detail Report'!$B:$B,A3,'Consolidated Detail Report'!$P:$P,"Yes")</f>
        <v>1</v>
      </c>
      <c r="L3" s="2" t="str">
        <f t="shared" ref="L3:L41" si="1">IF(E3=MAX($E$2:$E$41),"&lt;-- Most Continuous","")</f>
        <v/>
      </c>
      <c r="M3" s="5"/>
    </row>
    <row r="4" spans="1:13" x14ac:dyDescent="0.35">
      <c r="A4" s="2" t="s">
        <v>289</v>
      </c>
      <c r="B4" s="2">
        <f>COUNTIF('Consolidated Detail Report'!$B:$B,A4)</f>
        <v>1</v>
      </c>
      <c r="C4" s="3">
        <f>SUMIF('Consolidated Detail Report'!$B:$B,A4,'Consolidated Detail Report'!$G:$G)</f>
        <v>20.870000839233398</v>
      </c>
      <c r="D4" s="3">
        <f t="shared" si="0"/>
        <v>20.870000839233398</v>
      </c>
      <c r="E4" s="3">
        <f>IFERROR(AVERAGEIF('Consolidated Detail Report'!$B:$B,A4,'Consolidated Detail Report'!$Q:$Q),0)</f>
        <v>1.028888888888889</v>
      </c>
      <c r="F4" s="2">
        <f>COUNTIFS('Consolidated Detail Report'!$B:$B,A4,'Consolidated Detail Report'!$G:$G,"&gt;1")</f>
        <v>1</v>
      </c>
      <c r="G4" s="2">
        <f>COUNTIFS('Consolidated Detail Report'!$B:$B,A4,'Consolidated Detail Report'!$G:$G,"&lt;=1")</f>
        <v>0</v>
      </c>
      <c r="H4" s="2">
        <f>COUNTIFS('Consolidated Detail Report'!$B:$B,A4,'Consolidated Detail Report'!$M:$M,"Yes")</f>
        <v>0</v>
      </c>
      <c r="I4" s="2">
        <f>COUNTIFS('Consolidated Detail Report'!$B:$B,A4,'Consolidated Detail Report'!$N:$N,"Yes")</f>
        <v>1</v>
      </c>
      <c r="J4" s="2">
        <f>COUNTIFS('Consolidated Detail Report'!$B:$B,A4,'Consolidated Detail Report'!$O:$O,"Yes")</f>
        <v>1</v>
      </c>
      <c r="K4" s="2">
        <f>COUNTIFS('Consolidated Detail Report'!$B:$B,A4,'Consolidated Detail Report'!$P:$P,"Yes")</f>
        <v>0</v>
      </c>
      <c r="L4" s="2" t="str">
        <f t="shared" si="1"/>
        <v/>
      </c>
      <c r="M4" s="5"/>
    </row>
    <row r="5" spans="1:13" x14ac:dyDescent="0.35">
      <c r="A5" s="2" t="s">
        <v>290</v>
      </c>
      <c r="B5" s="2">
        <f>COUNTIF('Consolidated Detail Report'!$B:$B,A5)</f>
        <v>1</v>
      </c>
      <c r="C5" s="3">
        <f>SUMIF('Consolidated Detail Report'!$B:$B,A5,'Consolidated Detail Report'!$G:$G)</f>
        <v>44.099998474121101</v>
      </c>
      <c r="D5" s="3">
        <f t="shared" si="0"/>
        <v>44.099998474121101</v>
      </c>
      <c r="E5" s="3">
        <f>IFERROR(AVERAGEIF('Consolidated Detail Report'!$B:$B,A5,'Consolidated Detail Report'!$Q:$Q),0)</f>
        <v>9.6030555555555566</v>
      </c>
      <c r="F5" s="2">
        <f>COUNTIFS('Consolidated Detail Report'!$B:$B,A5,'Consolidated Detail Report'!$G:$G,"&gt;1")</f>
        <v>1</v>
      </c>
      <c r="G5" s="2">
        <f>COUNTIFS('Consolidated Detail Report'!$B:$B,A5,'Consolidated Detail Report'!$G:$G,"&lt;=1")</f>
        <v>0</v>
      </c>
      <c r="H5" s="2">
        <f>COUNTIFS('Consolidated Detail Report'!$B:$B,A5,'Consolidated Detail Report'!$M:$M,"Yes")</f>
        <v>1</v>
      </c>
      <c r="I5" s="2">
        <f>COUNTIFS('Consolidated Detail Report'!$B:$B,A5,'Consolidated Detail Report'!$N:$N,"Yes")</f>
        <v>1</v>
      </c>
      <c r="J5" s="2">
        <f>COUNTIFS('Consolidated Detail Report'!$B:$B,A5,'Consolidated Detail Report'!$O:$O,"Yes")</f>
        <v>1</v>
      </c>
      <c r="K5" s="2">
        <f>COUNTIFS('Consolidated Detail Report'!$B:$B,A5,'Consolidated Detail Report'!$P:$P,"Yes")</f>
        <v>1</v>
      </c>
      <c r="L5" s="2" t="str">
        <f t="shared" si="1"/>
        <v/>
      </c>
      <c r="M5" s="5"/>
    </row>
    <row r="6" spans="1:13" x14ac:dyDescent="0.35">
      <c r="A6" s="2" t="s">
        <v>291</v>
      </c>
      <c r="B6" s="2">
        <f>COUNTIF('Consolidated Detail Report'!$B:$B,A6)</f>
        <v>1</v>
      </c>
      <c r="C6" s="3">
        <f>SUMIF('Consolidated Detail Report'!$B:$B,A6,'Consolidated Detail Report'!$G:$G)</f>
        <v>40.069999694824197</v>
      </c>
      <c r="D6" s="3">
        <f t="shared" si="0"/>
        <v>40.069999694824197</v>
      </c>
      <c r="E6" s="3">
        <f>IFERROR(AVERAGEIF('Consolidated Detail Report'!$B:$B,A6,'Consolidated Detail Report'!$Q:$Q),0)</f>
        <v>6.681111111111111</v>
      </c>
      <c r="F6" s="2">
        <f>COUNTIFS('Consolidated Detail Report'!$B:$B,A6,'Consolidated Detail Report'!$G:$G,"&gt;1")</f>
        <v>1</v>
      </c>
      <c r="G6" s="2">
        <f>COUNTIFS('Consolidated Detail Report'!$B:$B,A6,'Consolidated Detail Report'!$G:$G,"&lt;=1")</f>
        <v>0</v>
      </c>
      <c r="H6" s="2">
        <f>COUNTIFS('Consolidated Detail Report'!$B:$B,A6,'Consolidated Detail Report'!$M:$M,"Yes")</f>
        <v>1</v>
      </c>
      <c r="I6" s="2">
        <f>COUNTIFS('Consolidated Detail Report'!$B:$B,A6,'Consolidated Detail Report'!$N:$N,"Yes")</f>
        <v>1</v>
      </c>
      <c r="J6" s="2">
        <f>COUNTIFS('Consolidated Detail Report'!$B:$B,A6,'Consolidated Detail Report'!$O:$O,"Yes")</f>
        <v>1</v>
      </c>
      <c r="K6" s="2">
        <f>COUNTIFS('Consolidated Detail Report'!$B:$B,A6,'Consolidated Detail Report'!$P:$P,"Yes")</f>
        <v>1</v>
      </c>
      <c r="L6" s="2" t="str">
        <f t="shared" si="1"/>
        <v/>
      </c>
      <c r="M6" s="5"/>
    </row>
    <row r="7" spans="1:13" x14ac:dyDescent="0.35">
      <c r="A7" s="2" t="s">
        <v>292</v>
      </c>
      <c r="B7" s="2">
        <f>COUNTIF('Consolidated Detail Report'!$B:$B,A7)</f>
        <v>1</v>
      </c>
      <c r="C7" s="3">
        <f>SUMIF('Consolidated Detail Report'!$B:$B,A7,'Consolidated Detail Report'!$G:$G)</f>
        <v>27.690000534057599</v>
      </c>
      <c r="D7" s="3">
        <f t="shared" si="0"/>
        <v>27.690000534057599</v>
      </c>
      <c r="E7" s="3">
        <f>IFERROR(AVERAGEIF('Consolidated Detail Report'!$B:$B,A7,'Consolidated Detail Report'!$Q:$Q),0)</f>
        <v>4.1927777777777777</v>
      </c>
      <c r="F7" s="2">
        <f>COUNTIFS('Consolidated Detail Report'!$B:$B,A7,'Consolidated Detail Report'!$G:$G,"&gt;1")</f>
        <v>1</v>
      </c>
      <c r="G7" s="2">
        <f>COUNTIFS('Consolidated Detail Report'!$B:$B,A7,'Consolidated Detail Report'!$G:$G,"&lt;=1")</f>
        <v>0</v>
      </c>
      <c r="H7" s="2">
        <f>COUNTIFS('Consolidated Detail Report'!$B:$B,A7,'Consolidated Detail Report'!$M:$M,"Yes")</f>
        <v>1</v>
      </c>
      <c r="I7" s="2">
        <f>COUNTIFS('Consolidated Detail Report'!$B:$B,A7,'Consolidated Detail Report'!$N:$N,"Yes")</f>
        <v>1</v>
      </c>
      <c r="J7" s="2">
        <f>COUNTIFS('Consolidated Detail Report'!$B:$B,A7,'Consolidated Detail Report'!$O:$O,"Yes")</f>
        <v>1</v>
      </c>
      <c r="K7" s="2">
        <f>COUNTIFS('Consolidated Detail Report'!$B:$B,A7,'Consolidated Detail Report'!$P:$P,"Yes")</f>
        <v>1</v>
      </c>
      <c r="L7" s="2" t="str">
        <f t="shared" si="1"/>
        <v/>
      </c>
      <c r="M7" s="5"/>
    </row>
    <row r="8" spans="1:13" x14ac:dyDescent="0.35">
      <c r="A8" s="2" t="s">
        <v>293</v>
      </c>
      <c r="B8" s="2">
        <f>COUNTIF('Consolidated Detail Report'!$B:$B,A8)</f>
        <v>1</v>
      </c>
      <c r="C8" s="3">
        <f>SUMIF('Consolidated Detail Report'!$B:$B,A8,'Consolidated Detail Report'!$G:$G)</f>
        <v>49.840000152587898</v>
      </c>
      <c r="D8" s="3">
        <f t="shared" si="0"/>
        <v>49.840000152587898</v>
      </c>
      <c r="E8" s="3">
        <f>IFERROR(AVERAGEIF('Consolidated Detail Report'!$B:$B,A8,'Consolidated Detail Report'!$Q:$Q),0)</f>
        <v>11.195833333333333</v>
      </c>
      <c r="F8" s="2">
        <f>COUNTIFS('Consolidated Detail Report'!$B:$B,A8,'Consolidated Detail Report'!$G:$G,"&gt;1")</f>
        <v>1</v>
      </c>
      <c r="G8" s="2">
        <f>COUNTIFS('Consolidated Detail Report'!$B:$B,A8,'Consolidated Detail Report'!$G:$G,"&lt;=1")</f>
        <v>0</v>
      </c>
      <c r="H8" s="2">
        <f>COUNTIFS('Consolidated Detail Report'!$B:$B,A8,'Consolidated Detail Report'!$M:$M,"Yes")</f>
        <v>1</v>
      </c>
      <c r="I8" s="2">
        <f>COUNTIFS('Consolidated Detail Report'!$B:$B,A8,'Consolidated Detail Report'!$N:$N,"Yes")</f>
        <v>1</v>
      </c>
      <c r="J8" s="2">
        <f>COUNTIFS('Consolidated Detail Report'!$B:$B,A8,'Consolidated Detail Report'!$O:$O,"Yes")</f>
        <v>1</v>
      </c>
      <c r="K8" s="2">
        <f>COUNTIFS('Consolidated Detail Report'!$B:$B,A8,'Consolidated Detail Report'!$P:$P,"Yes")</f>
        <v>1</v>
      </c>
      <c r="L8" s="2" t="str">
        <f t="shared" si="1"/>
        <v/>
      </c>
      <c r="M8" s="5"/>
    </row>
    <row r="9" spans="1:13" x14ac:dyDescent="0.35">
      <c r="A9" s="2" t="s">
        <v>294</v>
      </c>
      <c r="B9" s="2">
        <f>COUNTIF('Consolidated Detail Report'!$B:$B,A9)</f>
        <v>1</v>
      </c>
      <c r="C9" s="3">
        <f>SUMIF('Consolidated Detail Report'!$B:$B,A9,'Consolidated Detail Report'!$G:$G)</f>
        <v>51.439998626708999</v>
      </c>
      <c r="D9" s="3">
        <f t="shared" si="0"/>
        <v>51.439998626708999</v>
      </c>
      <c r="E9" s="3">
        <f>IFERROR(AVERAGEIF('Consolidated Detail Report'!$B:$B,A9,'Consolidated Detail Report'!$Q:$Q),0)</f>
        <v>7.6791666666666671</v>
      </c>
      <c r="F9" s="2">
        <f>COUNTIFS('Consolidated Detail Report'!$B:$B,A9,'Consolidated Detail Report'!$G:$G,"&gt;1")</f>
        <v>1</v>
      </c>
      <c r="G9" s="2">
        <f>COUNTIFS('Consolidated Detail Report'!$B:$B,A9,'Consolidated Detail Report'!$G:$G,"&lt;=1")</f>
        <v>0</v>
      </c>
      <c r="H9" s="2">
        <f>COUNTIFS('Consolidated Detail Report'!$B:$B,A9,'Consolidated Detail Report'!$M:$M,"Yes")</f>
        <v>1</v>
      </c>
      <c r="I9" s="2">
        <f>COUNTIFS('Consolidated Detail Report'!$B:$B,A9,'Consolidated Detail Report'!$N:$N,"Yes")</f>
        <v>1</v>
      </c>
      <c r="J9" s="2">
        <f>COUNTIFS('Consolidated Detail Report'!$B:$B,A9,'Consolidated Detail Report'!$O:$O,"Yes")</f>
        <v>1</v>
      </c>
      <c r="K9" s="2">
        <f>COUNTIFS('Consolidated Detail Report'!$B:$B,A9,'Consolidated Detail Report'!$P:$P,"Yes")</f>
        <v>1</v>
      </c>
      <c r="L9" s="2" t="str">
        <f t="shared" si="1"/>
        <v/>
      </c>
      <c r="M9" s="5"/>
    </row>
    <row r="10" spans="1:13" x14ac:dyDescent="0.35">
      <c r="A10" s="2" t="s">
        <v>295</v>
      </c>
      <c r="B10" s="2">
        <f>COUNTIF('Consolidated Detail Report'!$B:$B,A10)</f>
        <v>1</v>
      </c>
      <c r="C10" s="3">
        <f>SUMIF('Consolidated Detail Report'!$B:$B,A10,'Consolidated Detail Report'!$G:$G)</f>
        <v>177.42999267578099</v>
      </c>
      <c r="D10" s="3">
        <f t="shared" si="0"/>
        <v>177.42999267578099</v>
      </c>
      <c r="E10" s="3">
        <f>IFERROR(AVERAGEIF('Consolidated Detail Report'!$B:$B,A10,'Consolidated Detail Report'!$Q:$Q),0)</f>
        <v>5.9061111111111106</v>
      </c>
      <c r="F10" s="2">
        <f>COUNTIFS('Consolidated Detail Report'!$B:$B,A10,'Consolidated Detail Report'!$G:$G,"&gt;1")</f>
        <v>1</v>
      </c>
      <c r="G10" s="2">
        <f>COUNTIFS('Consolidated Detail Report'!$B:$B,A10,'Consolidated Detail Report'!$G:$G,"&lt;=1")</f>
        <v>0</v>
      </c>
      <c r="H10" s="2">
        <f>COUNTIFS('Consolidated Detail Report'!$B:$B,A10,'Consolidated Detail Report'!$M:$M,"Yes")</f>
        <v>1</v>
      </c>
      <c r="I10" s="2">
        <f>COUNTIFS('Consolidated Detail Report'!$B:$B,A10,'Consolidated Detail Report'!$N:$N,"Yes")</f>
        <v>1</v>
      </c>
      <c r="J10" s="2">
        <f>COUNTIFS('Consolidated Detail Report'!$B:$B,A10,'Consolidated Detail Report'!$O:$O,"Yes")</f>
        <v>1</v>
      </c>
      <c r="K10" s="2">
        <f>COUNTIFS('Consolidated Detail Report'!$B:$B,A10,'Consolidated Detail Report'!$P:$P,"Yes")</f>
        <v>1</v>
      </c>
      <c r="L10" s="2" t="str">
        <f t="shared" si="1"/>
        <v/>
      </c>
      <c r="M10" s="5" t="str">
        <f t="shared" ref="M10" si="2">IF(D10=MAX($D$2:$D$41),"Longest Distance Travel""")</f>
        <v>Longest Distance Travel"</v>
      </c>
    </row>
    <row r="11" spans="1:13" x14ac:dyDescent="0.35">
      <c r="A11" s="2" t="s">
        <v>296</v>
      </c>
      <c r="B11" s="2">
        <f>COUNTIF('Consolidated Detail Report'!$B:$B,A11)</f>
        <v>1</v>
      </c>
      <c r="C11" s="3">
        <f>SUMIF('Consolidated Detail Report'!$B:$B,A11,'Consolidated Detail Report'!$G:$G)</f>
        <v>102.790000915527</v>
      </c>
      <c r="D11" s="3">
        <f t="shared" si="0"/>
        <v>102.790000915527</v>
      </c>
      <c r="E11" s="3">
        <f>IFERROR(AVERAGEIF('Consolidated Detail Report'!$B:$B,A11,'Consolidated Detail Report'!$Q:$Q),0)</f>
        <v>18.369722222222222</v>
      </c>
      <c r="F11" s="2">
        <f>COUNTIFS('Consolidated Detail Report'!$B:$B,A11,'Consolidated Detail Report'!$G:$G,"&gt;1")</f>
        <v>1</v>
      </c>
      <c r="G11" s="2">
        <f>COUNTIFS('Consolidated Detail Report'!$B:$B,A11,'Consolidated Detail Report'!$G:$G,"&lt;=1")</f>
        <v>0</v>
      </c>
      <c r="H11" s="2">
        <f>COUNTIFS('Consolidated Detail Report'!$B:$B,A11,'Consolidated Detail Report'!$M:$M,"Yes")</f>
        <v>1</v>
      </c>
      <c r="I11" s="2">
        <f>COUNTIFS('Consolidated Detail Report'!$B:$B,A11,'Consolidated Detail Report'!$N:$N,"Yes")</f>
        <v>1</v>
      </c>
      <c r="J11" s="2">
        <f>COUNTIFS('Consolidated Detail Report'!$B:$B,A11,'Consolidated Detail Report'!$O:$O,"Yes")</f>
        <v>1</v>
      </c>
      <c r="K11" s="2">
        <f>COUNTIFS('Consolidated Detail Report'!$B:$B,A11,'Consolidated Detail Report'!$P:$P,"Yes")</f>
        <v>1</v>
      </c>
      <c r="L11" s="2" t="str">
        <f>IF(E11=MAX($E$2:$E$41)," Most Continuous","")</f>
        <v xml:space="preserve"> Most Continuous</v>
      </c>
      <c r="M11" s="5"/>
    </row>
    <row r="12" spans="1:13" x14ac:dyDescent="0.35">
      <c r="A12" s="2" t="s">
        <v>297</v>
      </c>
      <c r="B12" s="2">
        <f>COUNTIF('Consolidated Detail Report'!$B:$B,A12)</f>
        <v>1</v>
      </c>
      <c r="C12" s="3">
        <f>SUMIF('Consolidated Detail Report'!$B:$B,A12,'Consolidated Detail Report'!$G:$G)</f>
        <v>51.900001525878899</v>
      </c>
      <c r="D12" s="3">
        <f t="shared" si="0"/>
        <v>51.900001525878899</v>
      </c>
      <c r="E12" s="3">
        <f>IFERROR(AVERAGEIF('Consolidated Detail Report'!$B:$B,A12,'Consolidated Detail Report'!$Q:$Q),0)</f>
        <v>10.979444444444443</v>
      </c>
      <c r="F12" s="2">
        <f>COUNTIFS('Consolidated Detail Report'!$B:$B,A12,'Consolidated Detail Report'!$G:$G,"&gt;1")</f>
        <v>1</v>
      </c>
      <c r="G12" s="2">
        <f>COUNTIFS('Consolidated Detail Report'!$B:$B,A12,'Consolidated Detail Report'!$G:$G,"&lt;=1")</f>
        <v>0</v>
      </c>
      <c r="H12" s="2">
        <f>COUNTIFS('Consolidated Detail Report'!$B:$B,A12,'Consolidated Detail Report'!$M:$M,"Yes")</f>
        <v>1</v>
      </c>
      <c r="I12" s="2">
        <f>COUNTIFS('Consolidated Detail Report'!$B:$B,A12,'Consolidated Detail Report'!$N:$N,"Yes")</f>
        <v>1</v>
      </c>
      <c r="J12" s="2">
        <f>COUNTIFS('Consolidated Detail Report'!$B:$B,A12,'Consolidated Detail Report'!$O:$O,"Yes")</f>
        <v>1</v>
      </c>
      <c r="K12" s="2">
        <f>COUNTIFS('Consolidated Detail Report'!$B:$B,A12,'Consolidated Detail Report'!$P:$P,"Yes")</f>
        <v>1</v>
      </c>
      <c r="L12" s="2" t="str">
        <f t="shared" si="1"/>
        <v/>
      </c>
      <c r="M12" s="5"/>
    </row>
    <row r="13" spans="1:13" x14ac:dyDescent="0.35">
      <c r="A13" s="2" t="s">
        <v>298</v>
      </c>
      <c r="B13" s="2">
        <f>COUNTIF('Consolidated Detail Report'!$B:$B,A13)</f>
        <v>1</v>
      </c>
      <c r="C13" s="3">
        <f>SUMIF('Consolidated Detail Report'!$B:$B,A13,'Consolidated Detail Report'!$G:$G)</f>
        <v>64.760002136230497</v>
      </c>
      <c r="D13" s="3">
        <f t="shared" si="0"/>
        <v>64.760002136230497</v>
      </c>
      <c r="E13" s="3">
        <f>IFERROR(AVERAGEIF('Consolidated Detail Report'!$B:$B,A13,'Consolidated Detail Report'!$Q:$Q),0)</f>
        <v>11.961666666666666</v>
      </c>
      <c r="F13" s="2">
        <f>COUNTIFS('Consolidated Detail Report'!$B:$B,A13,'Consolidated Detail Report'!$G:$G,"&gt;1")</f>
        <v>1</v>
      </c>
      <c r="G13" s="2">
        <f>COUNTIFS('Consolidated Detail Report'!$B:$B,A13,'Consolidated Detail Report'!$G:$G,"&lt;=1")</f>
        <v>0</v>
      </c>
      <c r="H13" s="2">
        <f>COUNTIFS('Consolidated Detail Report'!$B:$B,A13,'Consolidated Detail Report'!$M:$M,"Yes")</f>
        <v>1</v>
      </c>
      <c r="I13" s="2">
        <f>COUNTIFS('Consolidated Detail Report'!$B:$B,A13,'Consolidated Detail Report'!$N:$N,"Yes")</f>
        <v>1</v>
      </c>
      <c r="J13" s="2">
        <f>COUNTIFS('Consolidated Detail Report'!$B:$B,A13,'Consolidated Detail Report'!$O:$O,"Yes")</f>
        <v>1</v>
      </c>
      <c r="K13" s="2">
        <f>COUNTIFS('Consolidated Detail Report'!$B:$B,A13,'Consolidated Detail Report'!$P:$P,"Yes")</f>
        <v>1</v>
      </c>
      <c r="L13" s="2" t="str">
        <f t="shared" si="1"/>
        <v/>
      </c>
      <c r="M13" s="5"/>
    </row>
    <row r="14" spans="1:13" x14ac:dyDescent="0.35">
      <c r="A14" s="2" t="s">
        <v>299</v>
      </c>
      <c r="B14" s="2">
        <f>COUNTIF('Consolidated Detail Report'!$B:$B,A14)</f>
        <v>1</v>
      </c>
      <c r="C14" s="3">
        <f>SUMIF('Consolidated Detail Report'!$B:$B,A14,'Consolidated Detail Report'!$G:$G)</f>
        <v>39.110000610351598</v>
      </c>
      <c r="D14" s="3">
        <f t="shared" si="0"/>
        <v>39.110000610351598</v>
      </c>
      <c r="E14" s="3">
        <f>IFERROR(AVERAGEIF('Consolidated Detail Report'!$B:$B,A14,'Consolidated Detail Report'!$Q:$Q),0)</f>
        <v>11.208611111111111</v>
      </c>
      <c r="F14" s="2">
        <f>COUNTIFS('Consolidated Detail Report'!$B:$B,A14,'Consolidated Detail Report'!$G:$G,"&gt;1")</f>
        <v>1</v>
      </c>
      <c r="G14" s="2">
        <f>COUNTIFS('Consolidated Detail Report'!$B:$B,A14,'Consolidated Detail Report'!$G:$G,"&lt;=1")</f>
        <v>0</v>
      </c>
      <c r="H14" s="2">
        <f>COUNTIFS('Consolidated Detail Report'!$B:$B,A14,'Consolidated Detail Report'!$M:$M,"Yes")</f>
        <v>1</v>
      </c>
      <c r="I14" s="2">
        <f>COUNTIFS('Consolidated Detail Report'!$B:$B,A14,'Consolidated Detail Report'!$N:$N,"Yes")</f>
        <v>1</v>
      </c>
      <c r="J14" s="2">
        <f>COUNTIFS('Consolidated Detail Report'!$B:$B,A14,'Consolidated Detail Report'!$O:$O,"Yes")</f>
        <v>1</v>
      </c>
      <c r="K14" s="2">
        <f>COUNTIFS('Consolidated Detail Report'!$B:$B,A14,'Consolidated Detail Report'!$P:$P,"Yes")</f>
        <v>1</v>
      </c>
      <c r="L14" s="2" t="str">
        <f t="shared" si="1"/>
        <v/>
      </c>
      <c r="M14" s="5"/>
    </row>
    <row r="15" spans="1:13" x14ac:dyDescent="0.35">
      <c r="A15" s="2" t="s">
        <v>300</v>
      </c>
      <c r="B15" s="2">
        <f>COUNTIF('Consolidated Detail Report'!$B:$B,A15)</f>
        <v>1</v>
      </c>
      <c r="C15" s="3">
        <f>SUMIF('Consolidated Detail Report'!$B:$B,A15,'Consolidated Detail Report'!$G:$G)</f>
        <v>28.0100002288818</v>
      </c>
      <c r="D15" s="3">
        <f t="shared" si="0"/>
        <v>28.0100002288818</v>
      </c>
      <c r="E15" s="3">
        <f>IFERROR(AVERAGEIF('Consolidated Detail Report'!$B:$B,A15,'Consolidated Detail Report'!$Q:$Q),0)</f>
        <v>3.2488888888888887</v>
      </c>
      <c r="F15" s="2">
        <f>COUNTIFS('Consolidated Detail Report'!$B:$B,A15,'Consolidated Detail Report'!$G:$G,"&gt;1")</f>
        <v>1</v>
      </c>
      <c r="G15" s="2">
        <f>COUNTIFS('Consolidated Detail Report'!$B:$B,A15,'Consolidated Detail Report'!$G:$G,"&lt;=1")</f>
        <v>0</v>
      </c>
      <c r="H15" s="2">
        <f>COUNTIFS('Consolidated Detail Report'!$B:$B,A15,'Consolidated Detail Report'!$M:$M,"Yes")</f>
        <v>1</v>
      </c>
      <c r="I15" s="2">
        <f>COUNTIFS('Consolidated Detail Report'!$B:$B,A15,'Consolidated Detail Report'!$N:$N,"Yes")</f>
        <v>1</v>
      </c>
      <c r="J15" s="2">
        <f>COUNTIFS('Consolidated Detail Report'!$B:$B,A15,'Consolidated Detail Report'!$O:$O,"Yes")</f>
        <v>0</v>
      </c>
      <c r="K15" s="2">
        <f>COUNTIFS('Consolidated Detail Report'!$B:$B,A15,'Consolidated Detail Report'!$P:$P,"Yes")</f>
        <v>0</v>
      </c>
      <c r="L15" s="2" t="str">
        <f t="shared" si="1"/>
        <v/>
      </c>
      <c r="M15" s="5"/>
    </row>
    <row r="16" spans="1:13" x14ac:dyDescent="0.35">
      <c r="A16" s="2" t="s">
        <v>301</v>
      </c>
      <c r="B16" s="2">
        <f>COUNTIF('Consolidated Detail Report'!$B:$B,A16)</f>
        <v>1</v>
      </c>
      <c r="C16" s="3">
        <f>SUMIF('Consolidated Detail Report'!$B:$B,A16,'Consolidated Detail Report'!$G:$G)</f>
        <v>22.9799995422363</v>
      </c>
      <c r="D16" s="3">
        <f t="shared" si="0"/>
        <v>22.9799995422363</v>
      </c>
      <c r="E16" s="3">
        <f>IFERROR(AVERAGEIF('Consolidated Detail Report'!$B:$B,A16,'Consolidated Detail Report'!$Q:$Q),0)</f>
        <v>8.8205555555555542</v>
      </c>
      <c r="F16" s="2">
        <f>COUNTIFS('Consolidated Detail Report'!$B:$B,A16,'Consolidated Detail Report'!$G:$G,"&gt;1")</f>
        <v>1</v>
      </c>
      <c r="G16" s="2">
        <f>COUNTIFS('Consolidated Detail Report'!$B:$B,A16,'Consolidated Detail Report'!$G:$G,"&lt;=1")</f>
        <v>0</v>
      </c>
      <c r="H16" s="2">
        <f>COUNTIFS('Consolidated Detail Report'!$B:$B,A16,'Consolidated Detail Report'!$M:$M,"Yes")</f>
        <v>1</v>
      </c>
      <c r="I16" s="2">
        <f>COUNTIFS('Consolidated Detail Report'!$B:$B,A16,'Consolidated Detail Report'!$N:$N,"Yes")</f>
        <v>1</v>
      </c>
      <c r="J16" s="2">
        <f>COUNTIFS('Consolidated Detail Report'!$B:$B,A16,'Consolidated Detail Report'!$O:$O,"Yes")</f>
        <v>1</v>
      </c>
      <c r="K16" s="2">
        <f>COUNTIFS('Consolidated Detail Report'!$B:$B,A16,'Consolidated Detail Report'!$P:$P,"Yes")</f>
        <v>1</v>
      </c>
      <c r="L16" s="2" t="str">
        <f t="shared" si="1"/>
        <v/>
      </c>
      <c r="M16" s="5"/>
    </row>
    <row r="17" spans="1:13" x14ac:dyDescent="0.35">
      <c r="A17" s="2" t="s">
        <v>302</v>
      </c>
      <c r="B17" s="2">
        <f>COUNTIF('Consolidated Detail Report'!$B:$B,A17)</f>
        <v>1</v>
      </c>
      <c r="C17" s="3">
        <f>SUMIF('Consolidated Detail Report'!$B:$B,A17,'Consolidated Detail Report'!$G:$G)</f>
        <v>61.439998626708999</v>
      </c>
      <c r="D17" s="3">
        <f t="shared" si="0"/>
        <v>61.439998626708999</v>
      </c>
      <c r="E17" s="3">
        <f>IFERROR(AVERAGEIF('Consolidated Detail Report'!$B:$B,A17,'Consolidated Detail Report'!$Q:$Q),0)</f>
        <v>7.3822222222222216</v>
      </c>
      <c r="F17" s="2">
        <f>COUNTIFS('Consolidated Detail Report'!$B:$B,A17,'Consolidated Detail Report'!$G:$G,"&gt;1")</f>
        <v>1</v>
      </c>
      <c r="G17" s="2">
        <f>COUNTIFS('Consolidated Detail Report'!$B:$B,A17,'Consolidated Detail Report'!$G:$G,"&lt;=1")</f>
        <v>0</v>
      </c>
      <c r="H17" s="2">
        <f>COUNTIFS('Consolidated Detail Report'!$B:$B,A17,'Consolidated Detail Report'!$M:$M,"Yes")</f>
        <v>1</v>
      </c>
      <c r="I17" s="2">
        <f>COUNTIFS('Consolidated Detail Report'!$B:$B,A17,'Consolidated Detail Report'!$N:$N,"Yes")</f>
        <v>1</v>
      </c>
      <c r="J17" s="2">
        <f>COUNTIFS('Consolidated Detail Report'!$B:$B,A17,'Consolidated Detail Report'!$O:$O,"Yes")</f>
        <v>1</v>
      </c>
      <c r="K17" s="2">
        <f>COUNTIFS('Consolidated Detail Report'!$B:$B,A17,'Consolidated Detail Report'!$P:$P,"Yes")</f>
        <v>1</v>
      </c>
      <c r="L17" s="2" t="str">
        <f t="shared" si="1"/>
        <v/>
      </c>
      <c r="M17" s="5"/>
    </row>
    <row r="18" spans="1:13" x14ac:dyDescent="0.35">
      <c r="A18" s="2" t="s">
        <v>303</v>
      </c>
      <c r="B18" s="2">
        <f>COUNTIF('Consolidated Detail Report'!$B:$B,A18)</f>
        <v>1</v>
      </c>
      <c r="C18" s="3">
        <f>SUMIF('Consolidated Detail Report'!$B:$B,A18,'Consolidated Detail Report'!$G:$G)</f>
        <v>67.360000610351605</v>
      </c>
      <c r="D18" s="3">
        <f t="shared" si="0"/>
        <v>67.360000610351605</v>
      </c>
      <c r="E18" s="3">
        <f>IFERROR(AVERAGEIF('Consolidated Detail Report'!$B:$B,A18,'Consolidated Detail Report'!$Q:$Q),0)</f>
        <v>13.003333333333334</v>
      </c>
      <c r="F18" s="2">
        <f>COUNTIFS('Consolidated Detail Report'!$B:$B,A18,'Consolidated Detail Report'!$G:$G,"&gt;1")</f>
        <v>1</v>
      </c>
      <c r="G18" s="2">
        <f>COUNTIFS('Consolidated Detail Report'!$B:$B,A18,'Consolidated Detail Report'!$G:$G,"&lt;=1")</f>
        <v>0</v>
      </c>
      <c r="H18" s="2">
        <f>COUNTIFS('Consolidated Detail Report'!$B:$B,A18,'Consolidated Detail Report'!$M:$M,"Yes")</f>
        <v>1</v>
      </c>
      <c r="I18" s="2">
        <f>COUNTIFS('Consolidated Detail Report'!$B:$B,A18,'Consolidated Detail Report'!$N:$N,"Yes")</f>
        <v>1</v>
      </c>
      <c r="J18" s="2">
        <f>COUNTIFS('Consolidated Detail Report'!$B:$B,A18,'Consolidated Detail Report'!$O:$O,"Yes")</f>
        <v>1</v>
      </c>
      <c r="K18" s="2">
        <f>COUNTIFS('Consolidated Detail Report'!$B:$B,A18,'Consolidated Detail Report'!$P:$P,"Yes")</f>
        <v>1</v>
      </c>
      <c r="L18" s="2" t="str">
        <f t="shared" si="1"/>
        <v/>
      </c>
      <c r="M18" s="5"/>
    </row>
    <row r="19" spans="1:13" x14ac:dyDescent="0.35">
      <c r="A19" s="2" t="s">
        <v>304</v>
      </c>
      <c r="B19" s="2">
        <f>COUNTIF('Consolidated Detail Report'!$B:$B,A19)</f>
        <v>1</v>
      </c>
      <c r="C19" s="3">
        <f>SUMIF('Consolidated Detail Report'!$B:$B,A19,'Consolidated Detail Report'!$G:$G)</f>
        <v>74.900001525878906</v>
      </c>
      <c r="D19" s="3">
        <f t="shared" si="0"/>
        <v>74.900001525878906</v>
      </c>
      <c r="E19" s="3">
        <f>IFERROR(AVERAGEIF('Consolidated Detail Report'!$B:$B,A19,'Consolidated Detail Report'!$Q:$Q),0)</f>
        <v>12.613333333333333</v>
      </c>
      <c r="F19" s="2">
        <f>COUNTIFS('Consolidated Detail Report'!$B:$B,A19,'Consolidated Detail Report'!$G:$G,"&gt;1")</f>
        <v>1</v>
      </c>
      <c r="G19" s="2">
        <f>COUNTIFS('Consolidated Detail Report'!$B:$B,A19,'Consolidated Detail Report'!$G:$G,"&lt;=1")</f>
        <v>0</v>
      </c>
      <c r="H19" s="2">
        <f>COUNTIFS('Consolidated Detail Report'!$B:$B,A19,'Consolidated Detail Report'!$M:$M,"Yes")</f>
        <v>1</v>
      </c>
      <c r="I19" s="2">
        <f>COUNTIFS('Consolidated Detail Report'!$B:$B,A19,'Consolidated Detail Report'!$N:$N,"Yes")</f>
        <v>1</v>
      </c>
      <c r="J19" s="2">
        <f>COUNTIFS('Consolidated Detail Report'!$B:$B,A19,'Consolidated Detail Report'!$O:$O,"Yes")</f>
        <v>1</v>
      </c>
      <c r="K19" s="2">
        <f>COUNTIFS('Consolidated Detail Report'!$B:$B,A19,'Consolidated Detail Report'!$P:$P,"Yes")</f>
        <v>1</v>
      </c>
      <c r="L19" s="2" t="str">
        <f t="shared" si="1"/>
        <v/>
      </c>
      <c r="M19" s="5"/>
    </row>
    <row r="20" spans="1:13" x14ac:dyDescent="0.35">
      <c r="A20" s="2" t="s">
        <v>305</v>
      </c>
      <c r="B20" s="2">
        <f>COUNTIF('Consolidated Detail Report'!$B:$B,A20)</f>
        <v>1</v>
      </c>
      <c r="C20" s="3">
        <f>SUMIF('Consolidated Detail Report'!$B:$B,A20,'Consolidated Detail Report'!$G:$G)</f>
        <v>54.880001068115199</v>
      </c>
      <c r="D20" s="3">
        <f t="shared" si="0"/>
        <v>54.880001068115199</v>
      </c>
      <c r="E20" s="3">
        <f>IFERROR(AVERAGEIF('Consolidated Detail Report'!$B:$B,A20,'Consolidated Detail Report'!$Q:$Q),0)</f>
        <v>11.366944444444444</v>
      </c>
      <c r="F20" s="2">
        <f>COUNTIFS('Consolidated Detail Report'!$B:$B,A20,'Consolidated Detail Report'!$G:$G,"&gt;1")</f>
        <v>1</v>
      </c>
      <c r="G20" s="2">
        <f>COUNTIFS('Consolidated Detail Report'!$B:$B,A20,'Consolidated Detail Report'!$G:$G,"&lt;=1")</f>
        <v>0</v>
      </c>
      <c r="H20" s="2">
        <f>COUNTIFS('Consolidated Detail Report'!$B:$B,A20,'Consolidated Detail Report'!$M:$M,"Yes")</f>
        <v>1</v>
      </c>
      <c r="I20" s="2">
        <f>COUNTIFS('Consolidated Detail Report'!$B:$B,A20,'Consolidated Detail Report'!$N:$N,"Yes")</f>
        <v>1</v>
      </c>
      <c r="J20" s="2">
        <f>COUNTIFS('Consolidated Detail Report'!$B:$B,A20,'Consolidated Detail Report'!$O:$O,"Yes")</f>
        <v>1</v>
      </c>
      <c r="K20" s="2">
        <f>COUNTIFS('Consolidated Detail Report'!$B:$B,A20,'Consolidated Detail Report'!$P:$P,"Yes")</f>
        <v>1</v>
      </c>
      <c r="L20" s="2" t="str">
        <f t="shared" si="1"/>
        <v/>
      </c>
      <c r="M20" s="5"/>
    </row>
    <row r="21" spans="1:13" x14ac:dyDescent="0.35">
      <c r="A21" s="2" t="s">
        <v>306</v>
      </c>
      <c r="B21" s="2">
        <f>COUNTIF('Consolidated Detail Report'!$B:$B,A21)</f>
        <v>1</v>
      </c>
      <c r="C21" s="3">
        <f>SUMIF('Consolidated Detail Report'!$B:$B,A21,'Consolidated Detail Report'!$G:$G)</f>
        <v>34.080001831054702</v>
      </c>
      <c r="D21" s="3">
        <f t="shared" si="0"/>
        <v>34.080001831054702</v>
      </c>
      <c r="E21" s="3">
        <f>IFERROR(AVERAGEIF('Consolidated Detail Report'!$B:$B,A21,'Consolidated Detail Report'!$Q:$Q),0)</f>
        <v>7.1763888888888889</v>
      </c>
      <c r="F21" s="2">
        <f>COUNTIFS('Consolidated Detail Report'!$B:$B,A21,'Consolidated Detail Report'!$G:$G,"&gt;1")</f>
        <v>1</v>
      </c>
      <c r="G21" s="2">
        <f>COUNTIFS('Consolidated Detail Report'!$B:$B,A21,'Consolidated Detail Report'!$G:$G,"&lt;=1")</f>
        <v>0</v>
      </c>
      <c r="H21" s="2">
        <f>COUNTIFS('Consolidated Detail Report'!$B:$B,A21,'Consolidated Detail Report'!$M:$M,"Yes")</f>
        <v>1</v>
      </c>
      <c r="I21" s="2">
        <f>COUNTIFS('Consolidated Detail Report'!$B:$B,A21,'Consolidated Detail Report'!$N:$N,"Yes")</f>
        <v>1</v>
      </c>
      <c r="J21" s="2">
        <f>COUNTIFS('Consolidated Detail Report'!$B:$B,A21,'Consolidated Detail Report'!$O:$O,"Yes")</f>
        <v>1</v>
      </c>
      <c r="K21" s="2">
        <f>COUNTIFS('Consolidated Detail Report'!$B:$B,A21,'Consolidated Detail Report'!$P:$P,"Yes")</f>
        <v>1</v>
      </c>
      <c r="L21" s="2" t="str">
        <f t="shared" si="1"/>
        <v/>
      </c>
      <c r="M21" s="5"/>
    </row>
    <row r="22" spans="1:13" x14ac:dyDescent="0.35">
      <c r="A22" s="2" t="s">
        <v>307</v>
      </c>
      <c r="B22" s="2">
        <f>COUNTIF('Consolidated Detail Report'!$B:$B,A22)</f>
        <v>1</v>
      </c>
      <c r="C22" s="3">
        <f>SUMIF('Consolidated Detail Report'!$B:$B,A22,'Consolidated Detail Report'!$G:$G)</f>
        <v>135.91000366210901</v>
      </c>
      <c r="D22" s="3">
        <f t="shared" si="0"/>
        <v>135.91000366210901</v>
      </c>
      <c r="E22" s="3">
        <f>IFERROR(AVERAGEIF('Consolidated Detail Report'!$B:$B,A22,'Consolidated Detail Report'!$Q:$Q),0)</f>
        <v>16.816111111111113</v>
      </c>
      <c r="F22" s="2">
        <f>COUNTIFS('Consolidated Detail Report'!$B:$B,A22,'Consolidated Detail Report'!$G:$G,"&gt;1")</f>
        <v>1</v>
      </c>
      <c r="G22" s="2">
        <f>COUNTIFS('Consolidated Detail Report'!$B:$B,A22,'Consolidated Detail Report'!$G:$G,"&lt;=1")</f>
        <v>0</v>
      </c>
      <c r="H22" s="2">
        <f>COUNTIFS('Consolidated Detail Report'!$B:$B,A22,'Consolidated Detail Report'!$M:$M,"Yes")</f>
        <v>1</v>
      </c>
      <c r="I22" s="2">
        <f>COUNTIFS('Consolidated Detail Report'!$B:$B,A22,'Consolidated Detail Report'!$N:$N,"Yes")</f>
        <v>1</v>
      </c>
      <c r="J22" s="2">
        <f>COUNTIFS('Consolidated Detail Report'!$B:$B,A22,'Consolidated Detail Report'!$O:$O,"Yes")</f>
        <v>1</v>
      </c>
      <c r="K22" s="2">
        <f>COUNTIFS('Consolidated Detail Report'!$B:$B,A22,'Consolidated Detail Report'!$P:$P,"Yes")</f>
        <v>1</v>
      </c>
      <c r="L22" s="2" t="str">
        <f t="shared" si="1"/>
        <v/>
      </c>
      <c r="M22" s="5"/>
    </row>
    <row r="23" spans="1:13" x14ac:dyDescent="0.35">
      <c r="A23" s="2" t="s">
        <v>308</v>
      </c>
      <c r="B23" s="2">
        <f>COUNTIF('Consolidated Detail Report'!$B:$B,A23)</f>
        <v>1</v>
      </c>
      <c r="C23" s="3">
        <f>SUMIF('Consolidated Detail Report'!$B:$B,A23,'Consolidated Detail Report'!$G:$G)</f>
        <v>98.540000915527301</v>
      </c>
      <c r="D23" s="3">
        <f t="shared" si="0"/>
        <v>98.540000915527301</v>
      </c>
      <c r="E23" s="3">
        <f>IFERROR(AVERAGEIF('Consolidated Detail Report'!$B:$B,A23,'Consolidated Detail Report'!$Q:$Q),0)</f>
        <v>14.618611111111111</v>
      </c>
      <c r="F23" s="2">
        <f>COUNTIFS('Consolidated Detail Report'!$B:$B,A23,'Consolidated Detail Report'!$G:$G,"&gt;1")</f>
        <v>1</v>
      </c>
      <c r="G23" s="2">
        <f>COUNTIFS('Consolidated Detail Report'!$B:$B,A23,'Consolidated Detail Report'!$G:$G,"&lt;=1")</f>
        <v>0</v>
      </c>
      <c r="H23" s="2">
        <f>COUNTIFS('Consolidated Detail Report'!$B:$B,A23,'Consolidated Detail Report'!$M:$M,"Yes")</f>
        <v>1</v>
      </c>
      <c r="I23" s="2">
        <f>COUNTIFS('Consolidated Detail Report'!$B:$B,A23,'Consolidated Detail Report'!$N:$N,"Yes")</f>
        <v>1</v>
      </c>
      <c r="J23" s="2">
        <f>COUNTIFS('Consolidated Detail Report'!$B:$B,A23,'Consolidated Detail Report'!$O:$O,"Yes")</f>
        <v>1</v>
      </c>
      <c r="K23" s="2">
        <f>COUNTIFS('Consolidated Detail Report'!$B:$B,A23,'Consolidated Detail Report'!$P:$P,"Yes")</f>
        <v>1</v>
      </c>
      <c r="L23" s="2" t="str">
        <f t="shared" si="1"/>
        <v/>
      </c>
      <c r="M23" s="5"/>
    </row>
    <row r="24" spans="1:13" x14ac:dyDescent="0.35">
      <c r="A24" s="2" t="s">
        <v>309</v>
      </c>
      <c r="B24" s="2">
        <f>COUNTIF('Consolidated Detail Report'!$B:$B,A24)</f>
        <v>1</v>
      </c>
      <c r="C24" s="3">
        <f>SUMIF('Consolidated Detail Report'!$B:$B,A24,'Consolidated Detail Report'!$G:$G)</f>
        <v>75.400001525878906</v>
      </c>
      <c r="D24" s="3">
        <f t="shared" si="0"/>
        <v>75.400001525878906</v>
      </c>
      <c r="E24" s="3">
        <f>IFERROR(AVERAGEIF('Consolidated Detail Report'!$B:$B,A24,'Consolidated Detail Report'!$Q:$Q),0)</f>
        <v>9.0525000000000002</v>
      </c>
      <c r="F24" s="2">
        <f>COUNTIFS('Consolidated Detail Report'!$B:$B,A24,'Consolidated Detail Report'!$G:$G,"&gt;1")</f>
        <v>1</v>
      </c>
      <c r="G24" s="2">
        <f>COUNTIFS('Consolidated Detail Report'!$B:$B,A24,'Consolidated Detail Report'!$G:$G,"&lt;=1")</f>
        <v>0</v>
      </c>
      <c r="H24" s="2">
        <f>COUNTIFS('Consolidated Detail Report'!$B:$B,A24,'Consolidated Detail Report'!$M:$M,"Yes")</f>
        <v>1</v>
      </c>
      <c r="I24" s="2">
        <f>COUNTIFS('Consolidated Detail Report'!$B:$B,A24,'Consolidated Detail Report'!$N:$N,"Yes")</f>
        <v>1</v>
      </c>
      <c r="J24" s="2">
        <f>COUNTIFS('Consolidated Detail Report'!$B:$B,A24,'Consolidated Detail Report'!$O:$O,"Yes")</f>
        <v>1</v>
      </c>
      <c r="K24" s="2">
        <f>COUNTIFS('Consolidated Detail Report'!$B:$B,A24,'Consolidated Detail Report'!$P:$P,"Yes")</f>
        <v>1</v>
      </c>
      <c r="L24" s="2" t="str">
        <f t="shared" si="1"/>
        <v/>
      </c>
      <c r="M24" s="5"/>
    </row>
    <row r="25" spans="1:13" x14ac:dyDescent="0.35">
      <c r="A25" s="2" t="s">
        <v>310</v>
      </c>
      <c r="B25" s="2">
        <f>COUNTIF('Consolidated Detail Report'!$B:$B,A25)</f>
        <v>1</v>
      </c>
      <c r="C25" s="3">
        <f>SUMIF('Consolidated Detail Report'!$B:$B,A25,'Consolidated Detail Report'!$G:$G)</f>
        <v>74.260002136230497</v>
      </c>
      <c r="D25" s="3">
        <f t="shared" si="0"/>
        <v>74.260002136230497</v>
      </c>
      <c r="E25" s="3">
        <f>IFERROR(AVERAGEIF('Consolidated Detail Report'!$B:$B,A25,'Consolidated Detail Report'!$Q:$Q),0)</f>
        <v>14.10361111111111</v>
      </c>
      <c r="F25" s="2">
        <f>COUNTIFS('Consolidated Detail Report'!$B:$B,A25,'Consolidated Detail Report'!$G:$G,"&gt;1")</f>
        <v>1</v>
      </c>
      <c r="G25" s="2">
        <f>COUNTIFS('Consolidated Detail Report'!$B:$B,A25,'Consolidated Detail Report'!$G:$G,"&lt;=1")</f>
        <v>0</v>
      </c>
      <c r="H25" s="2">
        <f>COUNTIFS('Consolidated Detail Report'!$B:$B,A25,'Consolidated Detail Report'!$M:$M,"Yes")</f>
        <v>1</v>
      </c>
      <c r="I25" s="2">
        <f>COUNTIFS('Consolidated Detail Report'!$B:$B,A25,'Consolidated Detail Report'!$N:$N,"Yes")</f>
        <v>1</v>
      </c>
      <c r="J25" s="2">
        <f>COUNTIFS('Consolidated Detail Report'!$B:$B,A25,'Consolidated Detail Report'!$O:$O,"Yes")</f>
        <v>1</v>
      </c>
      <c r="K25" s="2">
        <f>COUNTIFS('Consolidated Detail Report'!$B:$B,A25,'Consolidated Detail Report'!$P:$P,"Yes")</f>
        <v>1</v>
      </c>
      <c r="L25" s="2" t="str">
        <f t="shared" si="1"/>
        <v/>
      </c>
      <c r="M25" s="5"/>
    </row>
    <row r="26" spans="1:13" x14ac:dyDescent="0.35">
      <c r="A26" s="2" t="s">
        <v>311</v>
      </c>
      <c r="B26" s="2">
        <f>COUNTIF('Consolidated Detail Report'!$B:$B,A26)</f>
        <v>1</v>
      </c>
      <c r="C26" s="3">
        <f>SUMIF('Consolidated Detail Report'!$B:$B,A26,'Consolidated Detail Report'!$G:$G)</f>
        <v>36.939998626708999</v>
      </c>
      <c r="D26" s="3">
        <f t="shared" si="0"/>
        <v>36.939998626708999</v>
      </c>
      <c r="E26" s="3">
        <f>IFERROR(AVERAGEIF('Consolidated Detail Report'!$B:$B,A26,'Consolidated Detail Report'!$Q:$Q),0)</f>
        <v>9.6575000000000006</v>
      </c>
      <c r="F26" s="2">
        <f>COUNTIFS('Consolidated Detail Report'!$B:$B,A26,'Consolidated Detail Report'!$G:$G,"&gt;1")</f>
        <v>1</v>
      </c>
      <c r="G26" s="2">
        <f>COUNTIFS('Consolidated Detail Report'!$B:$B,A26,'Consolidated Detail Report'!$G:$G,"&lt;=1")</f>
        <v>0</v>
      </c>
      <c r="H26" s="2">
        <f>COUNTIFS('Consolidated Detail Report'!$B:$B,A26,'Consolidated Detail Report'!$M:$M,"Yes")</f>
        <v>1</v>
      </c>
      <c r="I26" s="2">
        <f>COUNTIFS('Consolidated Detail Report'!$B:$B,A26,'Consolidated Detail Report'!$N:$N,"Yes")</f>
        <v>1</v>
      </c>
      <c r="J26" s="2">
        <f>COUNTIFS('Consolidated Detail Report'!$B:$B,A26,'Consolidated Detail Report'!$O:$O,"Yes")</f>
        <v>1</v>
      </c>
      <c r="K26" s="2">
        <f>COUNTIFS('Consolidated Detail Report'!$B:$B,A26,'Consolidated Detail Report'!$P:$P,"Yes")</f>
        <v>1</v>
      </c>
      <c r="L26" s="2" t="str">
        <f t="shared" si="1"/>
        <v/>
      </c>
      <c r="M26" s="5"/>
    </row>
    <row r="27" spans="1:13" x14ac:dyDescent="0.35">
      <c r="A27" s="2" t="s">
        <v>312</v>
      </c>
      <c r="B27" s="2">
        <f>COUNTIF('Consolidated Detail Report'!$B:$B,A27)</f>
        <v>1</v>
      </c>
      <c r="C27" s="3">
        <f>SUMIF('Consolidated Detail Report'!$B:$B,A27,'Consolidated Detail Report'!$G:$G)</f>
        <v>96.059997558593807</v>
      </c>
      <c r="D27" s="3">
        <f t="shared" si="0"/>
        <v>96.059997558593807</v>
      </c>
      <c r="E27" s="3">
        <f>IFERROR(AVERAGEIF('Consolidated Detail Report'!$B:$B,A27,'Consolidated Detail Report'!$Q:$Q),0)</f>
        <v>17.128888888888888</v>
      </c>
      <c r="F27" s="2">
        <f>COUNTIFS('Consolidated Detail Report'!$B:$B,A27,'Consolidated Detail Report'!$G:$G,"&gt;1")</f>
        <v>1</v>
      </c>
      <c r="G27" s="2">
        <f>COUNTIFS('Consolidated Detail Report'!$B:$B,A27,'Consolidated Detail Report'!$G:$G,"&lt;=1")</f>
        <v>0</v>
      </c>
      <c r="H27" s="2">
        <f>COUNTIFS('Consolidated Detail Report'!$B:$B,A27,'Consolidated Detail Report'!$M:$M,"Yes")</f>
        <v>1</v>
      </c>
      <c r="I27" s="2">
        <f>COUNTIFS('Consolidated Detail Report'!$B:$B,A27,'Consolidated Detail Report'!$N:$N,"Yes")</f>
        <v>1</v>
      </c>
      <c r="J27" s="2">
        <f>COUNTIFS('Consolidated Detail Report'!$B:$B,A27,'Consolidated Detail Report'!$O:$O,"Yes")</f>
        <v>1</v>
      </c>
      <c r="K27" s="2">
        <f>COUNTIFS('Consolidated Detail Report'!$B:$B,A27,'Consolidated Detail Report'!$P:$P,"Yes")</f>
        <v>1</v>
      </c>
      <c r="L27" s="2" t="str">
        <f t="shared" si="1"/>
        <v/>
      </c>
      <c r="M27" s="5"/>
    </row>
    <row r="28" spans="1:13" x14ac:dyDescent="0.35">
      <c r="A28" s="2" t="s">
        <v>313</v>
      </c>
      <c r="B28" s="2">
        <f>COUNTIF('Consolidated Detail Report'!$B:$B,A28)</f>
        <v>1</v>
      </c>
      <c r="C28" s="3">
        <f>SUMIF('Consolidated Detail Report'!$B:$B,A28,'Consolidated Detail Report'!$G:$G)</f>
        <v>66.970001220703097</v>
      </c>
      <c r="D28" s="3">
        <f t="shared" si="0"/>
        <v>66.970001220703097</v>
      </c>
      <c r="E28" s="3">
        <f>IFERROR(AVERAGEIF('Consolidated Detail Report'!$B:$B,A28,'Consolidated Detail Report'!$Q:$Q),0)</f>
        <v>8.1461111111111109</v>
      </c>
      <c r="F28" s="2">
        <f>COUNTIFS('Consolidated Detail Report'!$B:$B,A28,'Consolidated Detail Report'!$G:$G,"&gt;1")</f>
        <v>1</v>
      </c>
      <c r="G28" s="2">
        <f>COUNTIFS('Consolidated Detail Report'!$B:$B,A28,'Consolidated Detail Report'!$G:$G,"&lt;=1")</f>
        <v>0</v>
      </c>
      <c r="H28" s="2">
        <f>COUNTIFS('Consolidated Detail Report'!$B:$B,A28,'Consolidated Detail Report'!$M:$M,"Yes")</f>
        <v>1</v>
      </c>
      <c r="I28" s="2">
        <f>COUNTIFS('Consolidated Detail Report'!$B:$B,A28,'Consolidated Detail Report'!$N:$N,"Yes")</f>
        <v>1</v>
      </c>
      <c r="J28" s="2">
        <f>COUNTIFS('Consolidated Detail Report'!$B:$B,A28,'Consolidated Detail Report'!$O:$O,"Yes")</f>
        <v>1</v>
      </c>
      <c r="K28" s="2">
        <f>COUNTIFS('Consolidated Detail Report'!$B:$B,A28,'Consolidated Detail Report'!$P:$P,"Yes")</f>
        <v>1</v>
      </c>
      <c r="L28" s="2" t="str">
        <f t="shared" si="1"/>
        <v/>
      </c>
      <c r="M28" s="5"/>
    </row>
    <row r="29" spans="1:13" x14ac:dyDescent="0.35">
      <c r="A29" s="2" t="s">
        <v>314</v>
      </c>
      <c r="B29" s="2">
        <f>COUNTIF('Consolidated Detail Report'!$B:$B,A29)</f>
        <v>1</v>
      </c>
      <c r="C29" s="3">
        <f>SUMIF('Consolidated Detail Report'!$B:$B,A29,'Consolidated Detail Report'!$G:$G)</f>
        <v>170.82000732421901</v>
      </c>
      <c r="D29" s="3">
        <f t="shared" si="0"/>
        <v>170.82000732421901</v>
      </c>
      <c r="E29" s="3">
        <f>IFERROR(AVERAGEIF('Consolidated Detail Report'!$B:$B,A29,'Consolidated Detail Report'!$Q:$Q),0)</f>
        <v>12.892222222222221</v>
      </c>
      <c r="F29" s="2">
        <f>COUNTIFS('Consolidated Detail Report'!$B:$B,A29,'Consolidated Detail Report'!$G:$G,"&gt;1")</f>
        <v>1</v>
      </c>
      <c r="G29" s="2">
        <f>COUNTIFS('Consolidated Detail Report'!$B:$B,A29,'Consolidated Detail Report'!$G:$G,"&lt;=1")</f>
        <v>0</v>
      </c>
      <c r="H29" s="2">
        <f>COUNTIFS('Consolidated Detail Report'!$B:$B,A29,'Consolidated Detail Report'!$M:$M,"Yes")</f>
        <v>1</v>
      </c>
      <c r="I29" s="2">
        <f>COUNTIFS('Consolidated Detail Report'!$B:$B,A29,'Consolidated Detail Report'!$N:$N,"Yes")</f>
        <v>1</v>
      </c>
      <c r="J29" s="2">
        <f>COUNTIFS('Consolidated Detail Report'!$B:$B,A29,'Consolidated Detail Report'!$O:$O,"Yes")</f>
        <v>1</v>
      </c>
      <c r="K29" s="2">
        <f>COUNTIFS('Consolidated Detail Report'!$B:$B,A29,'Consolidated Detail Report'!$P:$P,"Yes")</f>
        <v>1</v>
      </c>
      <c r="L29" s="2" t="str">
        <f t="shared" si="1"/>
        <v/>
      </c>
      <c r="M29" s="5"/>
    </row>
    <row r="30" spans="1:13" x14ac:dyDescent="0.35">
      <c r="A30" s="2" t="s">
        <v>315</v>
      </c>
      <c r="B30" s="2">
        <f>COUNTIF('Consolidated Detail Report'!$B:$B,A30)</f>
        <v>1</v>
      </c>
      <c r="C30" s="3">
        <f>SUMIF('Consolidated Detail Report'!$B:$B,A30,'Consolidated Detail Report'!$G:$G)</f>
        <v>60.549999237060597</v>
      </c>
      <c r="D30" s="3">
        <f t="shared" si="0"/>
        <v>60.549999237060597</v>
      </c>
      <c r="E30" s="3">
        <f>IFERROR(AVERAGEIF('Consolidated Detail Report'!$B:$B,A30,'Consolidated Detail Report'!$Q:$Q),0)</f>
        <v>5.5308333333333337</v>
      </c>
      <c r="F30" s="2">
        <f>COUNTIFS('Consolidated Detail Report'!$B:$B,A30,'Consolidated Detail Report'!$G:$G,"&gt;1")</f>
        <v>1</v>
      </c>
      <c r="G30" s="2">
        <f>COUNTIFS('Consolidated Detail Report'!$B:$B,A30,'Consolidated Detail Report'!$G:$G,"&lt;=1")</f>
        <v>0</v>
      </c>
      <c r="H30" s="2">
        <f>COUNTIFS('Consolidated Detail Report'!$B:$B,A30,'Consolidated Detail Report'!$M:$M,"Yes")</f>
        <v>1</v>
      </c>
      <c r="I30" s="2">
        <f>COUNTIFS('Consolidated Detail Report'!$B:$B,A30,'Consolidated Detail Report'!$N:$N,"Yes")</f>
        <v>1</v>
      </c>
      <c r="J30" s="2">
        <f>COUNTIFS('Consolidated Detail Report'!$B:$B,A30,'Consolidated Detail Report'!$O:$O,"Yes")</f>
        <v>1</v>
      </c>
      <c r="K30" s="2">
        <f>COUNTIFS('Consolidated Detail Report'!$B:$B,A30,'Consolidated Detail Report'!$P:$P,"Yes")</f>
        <v>1</v>
      </c>
      <c r="L30" s="2" t="str">
        <f t="shared" si="1"/>
        <v/>
      </c>
      <c r="M30" s="5"/>
    </row>
    <row r="31" spans="1:13" x14ac:dyDescent="0.35">
      <c r="A31" s="2" t="s">
        <v>316</v>
      </c>
      <c r="B31" s="2">
        <f>COUNTIF('Consolidated Detail Report'!$B:$B,A31)</f>
        <v>1</v>
      </c>
      <c r="C31" s="3">
        <f>SUMIF('Consolidated Detail Report'!$B:$B,A31,'Consolidated Detail Report'!$G:$G)</f>
        <v>70.050003051757798</v>
      </c>
      <c r="D31" s="3">
        <f t="shared" si="0"/>
        <v>70.050003051757798</v>
      </c>
      <c r="E31" s="3">
        <f>IFERROR(AVERAGEIF('Consolidated Detail Report'!$B:$B,A31,'Consolidated Detail Report'!$Q:$Q),0)</f>
        <v>4.9430555555555555</v>
      </c>
      <c r="F31" s="2">
        <f>COUNTIFS('Consolidated Detail Report'!$B:$B,A31,'Consolidated Detail Report'!$G:$G,"&gt;1")</f>
        <v>1</v>
      </c>
      <c r="G31" s="2">
        <f>COUNTIFS('Consolidated Detail Report'!$B:$B,A31,'Consolidated Detail Report'!$G:$G,"&lt;=1")</f>
        <v>0</v>
      </c>
      <c r="H31" s="2">
        <f>COUNTIFS('Consolidated Detail Report'!$B:$B,A31,'Consolidated Detail Report'!$M:$M,"Yes")</f>
        <v>1</v>
      </c>
      <c r="I31" s="2">
        <f>COUNTIFS('Consolidated Detail Report'!$B:$B,A31,'Consolidated Detail Report'!$N:$N,"Yes")</f>
        <v>1</v>
      </c>
      <c r="J31" s="2">
        <f>COUNTIFS('Consolidated Detail Report'!$B:$B,A31,'Consolidated Detail Report'!$O:$O,"Yes")</f>
        <v>1</v>
      </c>
      <c r="K31" s="2">
        <f>COUNTIFS('Consolidated Detail Report'!$B:$B,A31,'Consolidated Detail Report'!$P:$P,"Yes")</f>
        <v>1</v>
      </c>
      <c r="L31" s="2" t="str">
        <f t="shared" si="1"/>
        <v/>
      </c>
      <c r="M31" s="5"/>
    </row>
    <row r="32" spans="1:13" x14ac:dyDescent="0.35">
      <c r="A32" s="2" t="s">
        <v>317</v>
      </c>
      <c r="B32" s="2">
        <f>COUNTIF('Consolidated Detail Report'!$B:$B,A32)</f>
        <v>1</v>
      </c>
      <c r="C32" s="3">
        <f>SUMIF('Consolidated Detail Report'!$B:$B,A32,'Consolidated Detail Report'!$G:$G)</f>
        <v>48.880001068115199</v>
      </c>
      <c r="D32" s="3">
        <f t="shared" si="0"/>
        <v>48.880001068115199</v>
      </c>
      <c r="E32" s="3">
        <f>IFERROR(AVERAGEIF('Consolidated Detail Report'!$B:$B,A32,'Consolidated Detail Report'!$Q:$Q),0)</f>
        <v>11.054444444444446</v>
      </c>
      <c r="F32" s="2">
        <f>COUNTIFS('Consolidated Detail Report'!$B:$B,A32,'Consolidated Detail Report'!$G:$G,"&gt;1")</f>
        <v>1</v>
      </c>
      <c r="G32" s="2">
        <f>COUNTIFS('Consolidated Detail Report'!$B:$B,A32,'Consolidated Detail Report'!$G:$G,"&lt;=1")</f>
        <v>0</v>
      </c>
      <c r="H32" s="2">
        <f>COUNTIFS('Consolidated Detail Report'!$B:$B,A32,'Consolidated Detail Report'!$M:$M,"Yes")</f>
        <v>1</v>
      </c>
      <c r="I32" s="2">
        <f>COUNTIFS('Consolidated Detail Report'!$B:$B,A32,'Consolidated Detail Report'!$N:$N,"Yes")</f>
        <v>1</v>
      </c>
      <c r="J32" s="2">
        <f>COUNTIFS('Consolidated Detail Report'!$B:$B,A32,'Consolidated Detail Report'!$O:$O,"Yes")</f>
        <v>1</v>
      </c>
      <c r="K32" s="2">
        <f>COUNTIFS('Consolidated Detail Report'!$B:$B,A32,'Consolidated Detail Report'!$P:$P,"Yes")</f>
        <v>1</v>
      </c>
      <c r="L32" s="2" t="str">
        <f t="shared" si="1"/>
        <v/>
      </c>
      <c r="M32" s="5"/>
    </row>
    <row r="33" spans="1:13" x14ac:dyDescent="0.35">
      <c r="A33" s="2" t="s">
        <v>318</v>
      </c>
      <c r="B33" s="2">
        <f>COUNTIF('Consolidated Detail Report'!$B:$B,A33)</f>
        <v>1</v>
      </c>
      <c r="C33" s="3">
        <f>SUMIF('Consolidated Detail Report'!$B:$B,A33,'Consolidated Detail Report'!$G:$G)</f>
        <v>60.380001068115199</v>
      </c>
      <c r="D33" s="3">
        <f t="shared" si="0"/>
        <v>60.380001068115199</v>
      </c>
      <c r="E33" s="3">
        <f>IFERROR(AVERAGEIF('Consolidated Detail Report'!$B:$B,A33,'Consolidated Detail Report'!$Q:$Q),0)</f>
        <v>14.743055555555557</v>
      </c>
      <c r="F33" s="2">
        <f>COUNTIFS('Consolidated Detail Report'!$B:$B,A33,'Consolidated Detail Report'!$G:$G,"&gt;1")</f>
        <v>1</v>
      </c>
      <c r="G33" s="2">
        <f>COUNTIFS('Consolidated Detail Report'!$B:$B,A33,'Consolidated Detail Report'!$G:$G,"&lt;=1")</f>
        <v>0</v>
      </c>
      <c r="H33" s="2">
        <f>COUNTIFS('Consolidated Detail Report'!$B:$B,A33,'Consolidated Detail Report'!$M:$M,"Yes")</f>
        <v>1</v>
      </c>
      <c r="I33" s="2">
        <f>COUNTIFS('Consolidated Detail Report'!$B:$B,A33,'Consolidated Detail Report'!$N:$N,"Yes")</f>
        <v>1</v>
      </c>
      <c r="J33" s="2">
        <f>COUNTIFS('Consolidated Detail Report'!$B:$B,A33,'Consolidated Detail Report'!$O:$O,"Yes")</f>
        <v>1</v>
      </c>
      <c r="K33" s="2">
        <f>COUNTIFS('Consolidated Detail Report'!$B:$B,A33,'Consolidated Detail Report'!$P:$P,"Yes")</f>
        <v>1</v>
      </c>
      <c r="L33" s="2" t="str">
        <f t="shared" si="1"/>
        <v/>
      </c>
      <c r="M33" s="5"/>
    </row>
    <row r="34" spans="1:13" x14ac:dyDescent="0.35">
      <c r="A34" s="2" t="s">
        <v>319</v>
      </c>
      <c r="B34" s="2">
        <f>COUNTIF('Consolidated Detail Report'!$B:$B,A34)</f>
        <v>1</v>
      </c>
      <c r="C34" s="3">
        <f>SUMIF('Consolidated Detail Report'!$B:$B,A34,'Consolidated Detail Report'!$G:$G)</f>
        <v>46.509998321533203</v>
      </c>
      <c r="D34" s="3">
        <f t="shared" si="0"/>
        <v>46.509998321533203</v>
      </c>
      <c r="E34" s="3">
        <f>IFERROR(AVERAGEIF('Consolidated Detail Report'!$B:$B,A34,'Consolidated Detail Report'!$Q:$Q),0)</f>
        <v>6.195555555555555</v>
      </c>
      <c r="F34" s="2">
        <f>COUNTIFS('Consolidated Detail Report'!$B:$B,A34,'Consolidated Detail Report'!$G:$G,"&gt;1")</f>
        <v>1</v>
      </c>
      <c r="G34" s="2">
        <f>COUNTIFS('Consolidated Detail Report'!$B:$B,A34,'Consolidated Detail Report'!$G:$G,"&lt;=1")</f>
        <v>0</v>
      </c>
      <c r="H34" s="2">
        <f>COUNTIFS('Consolidated Detail Report'!$B:$B,A34,'Consolidated Detail Report'!$M:$M,"Yes")</f>
        <v>1</v>
      </c>
      <c r="I34" s="2">
        <f>COUNTIFS('Consolidated Detail Report'!$B:$B,A34,'Consolidated Detail Report'!$N:$N,"Yes")</f>
        <v>1</v>
      </c>
      <c r="J34" s="2">
        <f>COUNTIFS('Consolidated Detail Report'!$B:$B,A34,'Consolidated Detail Report'!$O:$O,"Yes")</f>
        <v>1</v>
      </c>
      <c r="K34" s="2">
        <f>COUNTIFS('Consolidated Detail Report'!$B:$B,A34,'Consolidated Detail Report'!$P:$P,"Yes")</f>
        <v>1</v>
      </c>
      <c r="L34" s="2" t="str">
        <f t="shared" si="1"/>
        <v/>
      </c>
      <c r="M34" s="5"/>
    </row>
    <row r="35" spans="1:13" x14ac:dyDescent="0.35">
      <c r="A35" s="2" t="s">
        <v>320</v>
      </c>
      <c r="B35" s="2">
        <f>COUNTIF('Consolidated Detail Report'!$B:$B,A35)</f>
        <v>1</v>
      </c>
      <c r="C35" s="3">
        <f>SUMIF('Consolidated Detail Report'!$B:$B,A35,'Consolidated Detail Report'!$G:$G)</f>
        <v>41.7299995422363</v>
      </c>
      <c r="D35" s="3">
        <f t="shared" si="0"/>
        <v>41.7299995422363</v>
      </c>
      <c r="E35" s="3">
        <f>IFERROR(AVERAGEIF('Consolidated Detail Report'!$B:$B,A35,'Consolidated Detail Report'!$Q:$Q),0)</f>
        <v>9.4130555555555553</v>
      </c>
      <c r="F35" s="2">
        <f>COUNTIFS('Consolidated Detail Report'!$B:$B,A35,'Consolidated Detail Report'!$G:$G,"&gt;1")</f>
        <v>1</v>
      </c>
      <c r="G35" s="2">
        <f>COUNTIFS('Consolidated Detail Report'!$B:$B,A35,'Consolidated Detail Report'!$G:$G,"&lt;=1")</f>
        <v>0</v>
      </c>
      <c r="H35" s="2">
        <f>COUNTIFS('Consolidated Detail Report'!$B:$B,A35,'Consolidated Detail Report'!$M:$M,"Yes")</f>
        <v>1</v>
      </c>
      <c r="I35" s="2">
        <f>COUNTIFS('Consolidated Detail Report'!$B:$B,A35,'Consolidated Detail Report'!$N:$N,"Yes")</f>
        <v>1</v>
      </c>
      <c r="J35" s="2">
        <f>COUNTIFS('Consolidated Detail Report'!$B:$B,A35,'Consolidated Detail Report'!$O:$O,"Yes")</f>
        <v>1</v>
      </c>
      <c r="K35" s="2">
        <f>COUNTIFS('Consolidated Detail Report'!$B:$B,A35,'Consolidated Detail Report'!$P:$P,"Yes")</f>
        <v>1</v>
      </c>
      <c r="L35" s="2" t="str">
        <f t="shared" si="1"/>
        <v/>
      </c>
      <c r="M35" s="5"/>
    </row>
    <row r="36" spans="1:13" x14ac:dyDescent="0.35">
      <c r="A36" s="2" t="s">
        <v>321</v>
      </c>
      <c r="B36" s="2">
        <f>COUNTIF('Consolidated Detail Report'!$B:$B,A36)</f>
        <v>1</v>
      </c>
      <c r="C36" s="3">
        <f>SUMIF('Consolidated Detail Report'!$B:$B,A36,'Consolidated Detail Report'!$G:$G)</f>
        <v>28.600000381469702</v>
      </c>
      <c r="D36" s="3">
        <f t="shared" si="0"/>
        <v>28.600000381469702</v>
      </c>
      <c r="E36" s="3">
        <f>IFERROR(AVERAGEIF('Consolidated Detail Report'!$B:$B,A36,'Consolidated Detail Report'!$Q:$Q),0)</f>
        <v>7.9688888888888885</v>
      </c>
      <c r="F36" s="2">
        <f>COUNTIFS('Consolidated Detail Report'!$B:$B,A36,'Consolidated Detail Report'!$G:$G,"&gt;1")</f>
        <v>1</v>
      </c>
      <c r="G36" s="2">
        <f>COUNTIFS('Consolidated Detail Report'!$B:$B,A36,'Consolidated Detail Report'!$G:$G,"&lt;=1")</f>
        <v>0</v>
      </c>
      <c r="H36" s="2">
        <f>COUNTIFS('Consolidated Detail Report'!$B:$B,A36,'Consolidated Detail Report'!$M:$M,"Yes")</f>
        <v>1</v>
      </c>
      <c r="I36" s="2">
        <f>COUNTIFS('Consolidated Detail Report'!$B:$B,A36,'Consolidated Detail Report'!$N:$N,"Yes")</f>
        <v>1</v>
      </c>
      <c r="J36" s="2">
        <f>COUNTIFS('Consolidated Detail Report'!$B:$B,A36,'Consolidated Detail Report'!$O:$O,"Yes")</f>
        <v>1</v>
      </c>
      <c r="K36" s="2">
        <f>COUNTIFS('Consolidated Detail Report'!$B:$B,A36,'Consolidated Detail Report'!$P:$P,"Yes")</f>
        <v>1</v>
      </c>
      <c r="L36" s="2" t="str">
        <f t="shared" si="1"/>
        <v/>
      </c>
      <c r="M36" s="5"/>
    </row>
    <row r="37" spans="1:13" x14ac:dyDescent="0.35">
      <c r="A37" s="2" t="s">
        <v>322</v>
      </c>
      <c r="B37" s="2">
        <f>COUNTIF('Consolidated Detail Report'!$B:$B,A37)</f>
        <v>1</v>
      </c>
      <c r="C37" s="3">
        <f>SUMIF('Consolidated Detail Report'!$B:$B,A37,'Consolidated Detail Report'!$G:$G)</f>
        <v>86.110000610351605</v>
      </c>
      <c r="D37" s="3">
        <f t="shared" si="0"/>
        <v>86.110000610351605</v>
      </c>
      <c r="E37" s="3">
        <f>IFERROR(AVERAGEIF('Consolidated Detail Report'!$B:$B,A37,'Consolidated Detail Report'!$Q:$Q),0)</f>
        <v>11.985833333333334</v>
      </c>
      <c r="F37" s="2">
        <f>COUNTIFS('Consolidated Detail Report'!$B:$B,A37,'Consolidated Detail Report'!$G:$G,"&gt;1")</f>
        <v>1</v>
      </c>
      <c r="G37" s="2">
        <f>COUNTIFS('Consolidated Detail Report'!$B:$B,A37,'Consolidated Detail Report'!$G:$G,"&lt;=1")</f>
        <v>0</v>
      </c>
      <c r="H37" s="2">
        <f>COUNTIFS('Consolidated Detail Report'!$B:$B,A37,'Consolidated Detail Report'!$M:$M,"Yes")</f>
        <v>1</v>
      </c>
      <c r="I37" s="2">
        <f>COUNTIFS('Consolidated Detail Report'!$B:$B,A37,'Consolidated Detail Report'!$N:$N,"Yes")</f>
        <v>1</v>
      </c>
      <c r="J37" s="2">
        <f>COUNTIFS('Consolidated Detail Report'!$B:$B,A37,'Consolidated Detail Report'!$O:$O,"Yes")</f>
        <v>1</v>
      </c>
      <c r="K37" s="2">
        <f>COUNTIFS('Consolidated Detail Report'!$B:$B,A37,'Consolidated Detail Report'!$P:$P,"Yes")</f>
        <v>1</v>
      </c>
      <c r="L37" s="2" t="str">
        <f t="shared" si="1"/>
        <v/>
      </c>
      <c r="M37" s="5"/>
    </row>
    <row r="38" spans="1:13" x14ac:dyDescent="0.35">
      <c r="A38" s="2" t="s">
        <v>323</v>
      </c>
      <c r="B38" s="2">
        <f>COUNTIF('Consolidated Detail Report'!$B:$B,A38)</f>
        <v>1</v>
      </c>
      <c r="C38" s="3">
        <f>SUMIF('Consolidated Detail Report'!$B:$B,A38,'Consolidated Detail Report'!$G:$G)</f>
        <v>41.169998168945298</v>
      </c>
      <c r="D38" s="3">
        <f t="shared" si="0"/>
        <v>41.169998168945298</v>
      </c>
      <c r="E38" s="3">
        <f>IFERROR(AVERAGEIF('Consolidated Detail Report'!$B:$B,A38,'Consolidated Detail Report'!$Q:$Q),0)</f>
        <v>5.0016666666666669</v>
      </c>
      <c r="F38" s="2">
        <f>COUNTIFS('Consolidated Detail Report'!$B:$B,A38,'Consolidated Detail Report'!$G:$G,"&gt;1")</f>
        <v>1</v>
      </c>
      <c r="G38" s="2">
        <f>COUNTIFS('Consolidated Detail Report'!$B:$B,A38,'Consolidated Detail Report'!$G:$G,"&lt;=1")</f>
        <v>0</v>
      </c>
      <c r="H38" s="2">
        <f>COUNTIFS('Consolidated Detail Report'!$B:$B,A38,'Consolidated Detail Report'!$M:$M,"Yes")</f>
        <v>1</v>
      </c>
      <c r="I38" s="2">
        <f>COUNTIFS('Consolidated Detail Report'!$B:$B,A38,'Consolidated Detail Report'!$N:$N,"Yes")</f>
        <v>1</v>
      </c>
      <c r="J38" s="2">
        <f>COUNTIFS('Consolidated Detail Report'!$B:$B,A38,'Consolidated Detail Report'!$O:$O,"Yes")</f>
        <v>1</v>
      </c>
      <c r="K38" s="2">
        <f>COUNTIFS('Consolidated Detail Report'!$B:$B,A38,'Consolidated Detail Report'!$P:$P,"Yes")</f>
        <v>1</v>
      </c>
      <c r="L38" s="2" t="str">
        <f t="shared" si="1"/>
        <v/>
      </c>
      <c r="M38" s="5"/>
    </row>
    <row r="39" spans="1:13" x14ac:dyDescent="0.35">
      <c r="A39" s="2" t="s">
        <v>324</v>
      </c>
      <c r="B39" s="2">
        <f>COUNTIF('Consolidated Detail Report'!$B:$B,A39)</f>
        <v>1</v>
      </c>
      <c r="C39" s="3">
        <f>SUMIF('Consolidated Detail Report'!$B:$B,A39,'Consolidated Detail Report'!$G:$G)</f>
        <v>90.139999389648395</v>
      </c>
      <c r="D39" s="3">
        <f t="shared" si="0"/>
        <v>90.139999389648395</v>
      </c>
      <c r="E39" s="3">
        <f>IFERROR(AVERAGEIF('Consolidated Detail Report'!$B:$B,A39,'Consolidated Detail Report'!$Q:$Q),0)</f>
        <v>12.73111111111111</v>
      </c>
      <c r="F39" s="2">
        <f>COUNTIFS('Consolidated Detail Report'!$B:$B,A39,'Consolidated Detail Report'!$G:$G,"&gt;1")</f>
        <v>1</v>
      </c>
      <c r="G39" s="2">
        <f>COUNTIFS('Consolidated Detail Report'!$B:$B,A39,'Consolidated Detail Report'!$G:$G,"&lt;=1")</f>
        <v>0</v>
      </c>
      <c r="H39" s="2">
        <f>COUNTIFS('Consolidated Detail Report'!$B:$B,A39,'Consolidated Detail Report'!$M:$M,"Yes")</f>
        <v>1</v>
      </c>
      <c r="I39" s="2">
        <f>COUNTIFS('Consolidated Detail Report'!$B:$B,A39,'Consolidated Detail Report'!$N:$N,"Yes")</f>
        <v>1</v>
      </c>
      <c r="J39" s="2">
        <f>COUNTIFS('Consolidated Detail Report'!$B:$B,A39,'Consolidated Detail Report'!$O:$O,"Yes")</f>
        <v>1</v>
      </c>
      <c r="K39" s="2">
        <f>COUNTIFS('Consolidated Detail Report'!$B:$B,A39,'Consolidated Detail Report'!$P:$P,"Yes")</f>
        <v>1</v>
      </c>
      <c r="L39" s="2" t="str">
        <f t="shared" si="1"/>
        <v/>
      </c>
      <c r="M39" s="5"/>
    </row>
    <row r="40" spans="1:13" x14ac:dyDescent="0.35">
      <c r="A40" s="2" t="s">
        <v>325</v>
      </c>
      <c r="B40" s="2">
        <f>COUNTIF('Consolidated Detail Report'!$B:$B,A40)</f>
        <v>1</v>
      </c>
      <c r="C40" s="3">
        <f>SUMIF('Consolidated Detail Report'!$B:$B,A40,'Consolidated Detail Report'!$G:$G)</f>
        <v>35.709999084472699</v>
      </c>
      <c r="D40" s="3">
        <f t="shared" si="0"/>
        <v>35.709999084472699</v>
      </c>
      <c r="E40" s="3">
        <f>IFERROR(AVERAGEIF('Consolidated Detail Report'!$B:$B,A40,'Consolidated Detail Report'!$Q:$Q),0)</f>
        <v>5.6480555555555556</v>
      </c>
      <c r="F40" s="2">
        <f>COUNTIFS('Consolidated Detail Report'!$B:$B,A40,'Consolidated Detail Report'!$G:$G,"&gt;1")</f>
        <v>1</v>
      </c>
      <c r="G40" s="2">
        <f>COUNTIFS('Consolidated Detail Report'!$B:$B,A40,'Consolidated Detail Report'!$G:$G,"&lt;=1")</f>
        <v>0</v>
      </c>
      <c r="H40" s="2">
        <f>COUNTIFS('Consolidated Detail Report'!$B:$B,A40,'Consolidated Detail Report'!$M:$M,"Yes")</f>
        <v>1</v>
      </c>
      <c r="I40" s="2">
        <f>COUNTIFS('Consolidated Detail Report'!$B:$B,A40,'Consolidated Detail Report'!$N:$N,"Yes")</f>
        <v>1</v>
      </c>
      <c r="J40" s="2">
        <f>COUNTIFS('Consolidated Detail Report'!$B:$B,A40,'Consolidated Detail Report'!$O:$O,"Yes")</f>
        <v>1</v>
      </c>
      <c r="K40" s="2">
        <f>COUNTIFS('Consolidated Detail Report'!$B:$B,A40,'Consolidated Detail Report'!$P:$P,"Yes")</f>
        <v>1</v>
      </c>
      <c r="L40" s="2" t="str">
        <f t="shared" si="1"/>
        <v/>
      </c>
      <c r="M40" s="5"/>
    </row>
    <row r="41" spans="1:13" x14ac:dyDescent="0.35">
      <c r="A41" s="2" t="s">
        <v>326</v>
      </c>
      <c r="B41" s="2">
        <f>COUNTIF('Consolidated Detail Report'!$B:$B,A41)</f>
        <v>1</v>
      </c>
      <c r="C41" s="3">
        <f>SUMIF('Consolidated Detail Report'!$B:$B,A41,'Consolidated Detail Report'!$G:$G)</f>
        <v>131.669998168945</v>
      </c>
      <c r="D41" s="3">
        <f t="shared" si="0"/>
        <v>131.669998168945</v>
      </c>
      <c r="E41" s="3">
        <f>IFERROR(AVERAGEIF('Consolidated Detail Report'!$B:$B,A41,'Consolidated Detail Report'!$Q:$Q),0)</f>
        <v>13.10638888888889</v>
      </c>
      <c r="F41" s="2">
        <f>COUNTIFS('Consolidated Detail Report'!$B:$B,A41,'Consolidated Detail Report'!$G:$G,"&gt;1")</f>
        <v>1</v>
      </c>
      <c r="G41" s="2">
        <f>COUNTIFS('Consolidated Detail Report'!$B:$B,A41,'Consolidated Detail Report'!$G:$G,"&lt;=1")</f>
        <v>0</v>
      </c>
      <c r="H41" s="2">
        <f>COUNTIFS('Consolidated Detail Report'!$B:$B,A41,'Consolidated Detail Report'!$M:$M,"Yes")</f>
        <v>1</v>
      </c>
      <c r="I41" s="2">
        <f>COUNTIFS('Consolidated Detail Report'!$B:$B,A41,'Consolidated Detail Report'!$N:$N,"Yes")</f>
        <v>1</v>
      </c>
      <c r="J41" s="2">
        <f>COUNTIFS('Consolidated Detail Report'!$B:$B,A41,'Consolidated Detail Report'!$O:$O,"Yes")</f>
        <v>1</v>
      </c>
      <c r="K41" s="2">
        <f>COUNTIFS('Consolidated Detail Report'!$B:$B,A41,'Consolidated Detail Report'!$P:$P,"Yes")</f>
        <v>1</v>
      </c>
      <c r="L41" s="2" t="str">
        <f t="shared" si="1"/>
        <v/>
      </c>
      <c r="M41" s="5"/>
    </row>
    <row r="43" spans="1:13" x14ac:dyDescent="0.35">
      <c r="A43" s="1" t="s">
        <v>327</v>
      </c>
    </row>
  </sheetData>
  <conditionalFormatting sqref="L2:L41">
    <cfRule type="cellIs" dxfId="0" priority="2" operator="equal">
      <formula>"&lt;-- Most Continuous"</formula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L11" formula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9E11-9408-4186-9B93-656F805025C0}">
  <sheetPr>
    <pageSetUpPr fitToPage="1"/>
  </sheetPr>
  <dimension ref="B2:L48"/>
  <sheetViews>
    <sheetView showGridLines="0" tabSelected="1" zoomScale="33" zoomScaleNormal="65" workbookViewId="0">
      <selection activeCell="O16" sqref="O16"/>
    </sheetView>
  </sheetViews>
  <sheetFormatPr defaultColWidth="8.6328125" defaultRowHeight="14.5" x14ac:dyDescent="0.35"/>
  <cols>
    <col min="1" max="1" width="3" customWidth="1"/>
    <col min="2" max="2" width="22" customWidth="1"/>
    <col min="3" max="3" width="26.1796875" customWidth="1"/>
    <col min="4" max="4" width="16" customWidth="1"/>
    <col min="5" max="5" width="22" customWidth="1"/>
    <col min="6" max="6" width="20" customWidth="1"/>
    <col min="9" max="9" width="6" customWidth="1"/>
    <col min="10" max="10" width="16" customWidth="1"/>
    <col min="11" max="11" width="14" customWidth="1"/>
  </cols>
  <sheetData>
    <row r="2" spans="2:12" ht="23" x14ac:dyDescent="0.5">
      <c r="B2" s="18" t="s">
        <v>328</v>
      </c>
    </row>
    <row r="3" spans="2:12" x14ac:dyDescent="0.35">
      <c r="B3" s="17"/>
    </row>
    <row r="5" spans="2:12" x14ac:dyDescent="0.35">
      <c r="B5" s="24" t="s">
        <v>329</v>
      </c>
      <c r="C5" s="24"/>
      <c r="E5" s="24" t="s">
        <v>330</v>
      </c>
      <c r="F5" s="24"/>
      <c r="H5" s="24" t="s">
        <v>331</v>
      </c>
      <c r="I5" s="24"/>
      <c r="K5" s="24" t="s">
        <v>332</v>
      </c>
      <c r="L5" s="24"/>
    </row>
    <row r="6" spans="2:12" ht="28" x14ac:dyDescent="0.6">
      <c r="B6" s="25">
        <f>ROUND(AVERAGE([1]Calculations!D2:D41),2)</f>
        <v>66.540000000000006</v>
      </c>
      <c r="C6" s="25"/>
      <c r="E6" s="26">
        <v>40</v>
      </c>
      <c r="F6" s="26"/>
      <c r="H6" s="26">
        <v>0</v>
      </c>
      <c r="I6" s="26"/>
      <c r="K6" s="27" t="str">
        <f>INDEX([1]Calculations!A2:A41,MATCH(MAX([1]Calculations!E2:E41),[1]Calculations!E2:E41,0))</f>
        <v>UP78GT4959</v>
      </c>
      <c r="L6" s="27"/>
    </row>
    <row r="9" spans="2:12" ht="16.5" x14ac:dyDescent="0.35">
      <c r="F9" s="16" t="s">
        <v>334</v>
      </c>
      <c r="G9" s="13"/>
      <c r="H9" s="13"/>
      <c r="I9" s="13"/>
      <c r="J9" s="13"/>
    </row>
    <row r="10" spans="2:12" ht="28" x14ac:dyDescent="0.35">
      <c r="D10" s="11" t="s">
        <v>333</v>
      </c>
      <c r="F10" s="15" t="s">
        <v>337</v>
      </c>
      <c r="G10" s="15" t="s">
        <v>338</v>
      </c>
      <c r="H10" s="13"/>
      <c r="I10" s="13"/>
      <c r="J10" s="13"/>
    </row>
    <row r="11" spans="2:12" x14ac:dyDescent="0.35">
      <c r="D11" s="4" t="s">
        <v>335</v>
      </c>
      <c r="E11" s="4" t="s">
        <v>336</v>
      </c>
      <c r="F11" s="14" t="s">
        <v>340</v>
      </c>
      <c r="G11" s="14" t="e">
        <f>COUNTIFS([1]RawData!G2:G41,"&gt;1")</f>
        <v>#VALUE!</v>
      </c>
      <c r="H11" s="13"/>
      <c r="I11" s="13"/>
      <c r="J11" s="13"/>
    </row>
    <row r="12" spans="2:12" x14ac:dyDescent="0.35">
      <c r="D12" s="9" t="s">
        <v>339</v>
      </c>
      <c r="E12" s="12">
        <v>39</v>
      </c>
      <c r="F12" s="14" t="s">
        <v>342</v>
      </c>
      <c r="G12" s="14" t="e">
        <f>COUNTIFS([1]RawData!G2:G41,"&lt;=1")</f>
        <v>#VALUE!</v>
      </c>
      <c r="H12" s="13"/>
      <c r="I12" s="13"/>
      <c r="J12" s="13"/>
    </row>
    <row r="13" spans="2:12" x14ac:dyDescent="0.35">
      <c r="D13" s="9" t="s">
        <v>341</v>
      </c>
      <c r="E13" s="12">
        <v>40</v>
      </c>
      <c r="F13" s="13"/>
      <c r="G13" s="13"/>
      <c r="H13" s="13"/>
      <c r="I13" s="13"/>
      <c r="J13" s="13"/>
    </row>
    <row r="14" spans="2:12" x14ac:dyDescent="0.35">
      <c r="D14" s="9" t="s">
        <v>343</v>
      </c>
      <c r="E14" s="12">
        <v>39</v>
      </c>
    </row>
    <row r="15" spans="2:12" x14ac:dyDescent="0.35">
      <c r="D15" s="9" t="s">
        <v>344</v>
      </c>
      <c r="E15" s="12">
        <v>38</v>
      </c>
    </row>
    <row r="37" spans="2:5" ht="16.5" x14ac:dyDescent="0.35">
      <c r="B37" s="11" t="s">
        <v>345</v>
      </c>
      <c r="E37" s="11"/>
    </row>
    <row r="38" spans="2:5" x14ac:dyDescent="0.35">
      <c r="B38" s="4" t="s">
        <v>346</v>
      </c>
      <c r="C38" s="4" t="s">
        <v>277</v>
      </c>
      <c r="D38" s="4" t="s">
        <v>279</v>
      </c>
      <c r="E38" s="4" t="s">
        <v>346</v>
      </c>
    </row>
    <row r="39" spans="2:5" x14ac:dyDescent="0.35">
      <c r="B39" s="9">
        <v>1</v>
      </c>
      <c r="C39" s="9" t="str">
        <f>IFERROR(INDEX([1]Calculations!$A$2:$A$41,MATCH(D39,[1]Calculations!$D$2:$D$41,0)),"")</f>
        <v>UP78GT4955</v>
      </c>
      <c r="D39" s="10">
        <f>LARGE([1]Calculations!$D$2:$D$41,1)</f>
        <v>177.42999267578099</v>
      </c>
      <c r="E39" s="9">
        <v>1</v>
      </c>
    </row>
    <row r="40" spans="2:5" x14ac:dyDescent="0.35">
      <c r="B40" s="9">
        <v>2</v>
      </c>
      <c r="C40" s="9" t="str">
        <f>IFERROR(INDEX([1]Calculations!$A$2:$A$41,MATCH(D40,[1]Calculations!$D$2:$D$41,0)),"")</f>
        <v>UP78KT6804</v>
      </c>
      <c r="D40" s="10">
        <f>LARGE([1]Calculations!$D$2:$D$41,2)</f>
        <v>170.82000732421901</v>
      </c>
      <c r="E40" s="9">
        <v>2</v>
      </c>
    </row>
    <row r="41" spans="2:5" x14ac:dyDescent="0.35">
      <c r="B41" s="9">
        <v>3</v>
      </c>
      <c r="C41" s="9" t="str">
        <f>IFERROR(INDEX([1]Calculations!$A$2:$A$41,MATCH(D41,[1]Calculations!$D$2:$D$41,0)),"")</f>
        <v>UP78JN2763</v>
      </c>
      <c r="D41" s="10">
        <f>LARGE([1]Calculations!$D$2:$D$41,3)</f>
        <v>135.91000366210901</v>
      </c>
      <c r="E41" s="9">
        <v>3</v>
      </c>
    </row>
    <row r="42" spans="2:5" x14ac:dyDescent="0.35">
      <c r="B42" s="9">
        <v>4</v>
      </c>
      <c r="C42" s="9" t="str">
        <f>IFERROR(INDEX([1]Calculations!$A$2:$A$41,MATCH(D42,[1]Calculations!$D$2:$D$41,0)),"")</f>
        <v>UP78LN5012</v>
      </c>
      <c r="D42" s="10">
        <f>LARGE([1]Calculations!$D$2:$D$41,4)</f>
        <v>131.669998168945</v>
      </c>
      <c r="E42" s="9">
        <v>4</v>
      </c>
    </row>
    <row r="43" spans="2:5" x14ac:dyDescent="0.35">
      <c r="B43" s="9">
        <v>5</v>
      </c>
      <c r="C43" s="9" t="str">
        <f>IFERROR(INDEX([1]Calculations!$A$2:$A$41,MATCH(D43,[1]Calculations!$D$2:$D$41,0)),"")</f>
        <v>UP78GT4959</v>
      </c>
      <c r="D43" s="10">
        <f>LARGE([1]Calculations!$D$2:$D$41,5)</f>
        <v>102.790000915527</v>
      </c>
      <c r="E43" s="9">
        <v>5</v>
      </c>
    </row>
    <row r="44" spans="2:5" x14ac:dyDescent="0.35">
      <c r="B44" s="9">
        <v>6</v>
      </c>
      <c r="C44" s="9" t="str">
        <f>IFERROR(INDEX([1]Calculations!$A$2:$A$41,MATCH(D44,[1]Calculations!$D$2:$D$41,0)),"")</f>
        <v>UP78JN3415</v>
      </c>
      <c r="D44" s="10">
        <f>LARGE([1]Calculations!$D$2:$D$41,6)</f>
        <v>98.540000915527301</v>
      </c>
      <c r="E44" s="9">
        <v>6</v>
      </c>
    </row>
    <row r="45" spans="2:5" x14ac:dyDescent="0.35">
      <c r="B45" s="9">
        <v>7</v>
      </c>
      <c r="C45" s="9" t="str">
        <f>IFERROR(INDEX([1]Calculations!$A$2:$A$41,MATCH(D45,[1]Calculations!$D$2:$D$41,0)),"")</f>
        <v>UP78KT4270</v>
      </c>
      <c r="D45" s="10">
        <f>LARGE([1]Calculations!$D$2:$D$41,7)</f>
        <v>96.059997558593807</v>
      </c>
      <c r="E45" s="9">
        <v>7</v>
      </c>
    </row>
    <row r="46" spans="2:5" x14ac:dyDescent="0.35">
      <c r="B46" s="9">
        <v>8</v>
      </c>
      <c r="C46" s="9" t="str">
        <f>IFERROR(INDEX([1]Calculations!$A$2:$A$41,MATCH(D46,[1]Calculations!$D$2:$D$41,0)),"")</f>
        <v>UP78GT3262</v>
      </c>
      <c r="D46" s="10">
        <f>LARGE([1]Calculations!$D$2:$D$41,8)</f>
        <v>90.830001831054702</v>
      </c>
      <c r="E46" s="9">
        <v>8</v>
      </c>
    </row>
    <row r="47" spans="2:5" x14ac:dyDescent="0.35">
      <c r="B47" s="9">
        <v>9</v>
      </c>
      <c r="C47" s="9" t="str">
        <f>IFERROR(INDEX([1]Calculations!$A$2:$A$41,MATCH(D47,[1]Calculations!$D$2:$D$41,0)),"")</f>
        <v>UP78KT8355</v>
      </c>
      <c r="D47" s="10">
        <f>LARGE([1]Calculations!$D$2:$D$41,9)</f>
        <v>90.139999389648395</v>
      </c>
      <c r="E47" s="9">
        <v>9</v>
      </c>
    </row>
    <row r="48" spans="2:5" x14ac:dyDescent="0.35">
      <c r="B48" s="9">
        <v>10</v>
      </c>
      <c r="C48" s="9" t="str">
        <f>IFERROR(INDEX([1]Calculations!$A$2:$A$41,MATCH(D48,[1]Calculations!$D$2:$D$41,0)),"")</f>
        <v>UP78KT8353</v>
      </c>
      <c r="D48" s="10">
        <f>LARGE([1]Calculations!$D$2:$D$41,10)</f>
        <v>86.110000610351605</v>
      </c>
      <c r="E48" s="9">
        <v>10</v>
      </c>
    </row>
  </sheetData>
  <mergeCells count="8">
    <mergeCell ref="B5:C5"/>
    <mergeCell ref="E5:F5"/>
    <mergeCell ref="H5:I5"/>
    <mergeCell ref="K5:L5"/>
    <mergeCell ref="B6:C6"/>
    <mergeCell ref="E6:F6"/>
    <mergeCell ref="H6:I6"/>
    <mergeCell ref="K6:L6"/>
  </mergeCell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 Detail Report</vt:lpstr>
      <vt:lpstr>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ronit gupta</cp:lastModifiedBy>
  <cp:revision>1</cp:revision>
  <dcterms:created xsi:type="dcterms:W3CDTF">2026-06-20T07:33:04Z</dcterms:created>
  <dcterms:modified xsi:type="dcterms:W3CDTF">2026-07-16T20:56:20Z</dcterms:modified>
  <dc:language>en-US</dc:language>
</cp:coreProperties>
</file>